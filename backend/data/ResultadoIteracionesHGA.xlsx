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OE_HGA" r:id="rId3" sheetId="1"/>
  </sheets>
</workbook>
</file>

<file path=xl/sharedStrings.xml><?xml version="1.0" encoding="utf-8"?>
<sst xmlns="http://schemas.openxmlformats.org/spreadsheetml/2006/main" count="98" uniqueCount="35">
  <si>
    <t>DOE — Experimentación Numérica | Algoritmo: HGA | 2026-05-04 16:29</t>
  </si>
  <si>
    <t>Fitness Score = 10×A  −  0.005×Ecap  −  2×Dh  −  12×Saero   |   10 iteraciones por nivel</t>
  </si>
  <si>
    <t>Ejecución</t>
  </si>
  <si>
    <t>Nivel</t>
  </si>
  <si>
    <t>Maletas DOE</t>
  </si>
  <si>
    <t>Maletas Reales</t>
  </si>
  <si>
    <t>Fitness Score</t>
  </si>
  <si>
    <t>Cumplimiento %</t>
  </si>
  <si>
    <t>Ocupación %</t>
  </si>
  <si>
    <t>Lead Time (h)</t>
  </si>
  <si>
    <t>Sat. Aero %</t>
  </si>
  <si>
    <t>Maletas Atend.</t>
  </si>
  <si>
    <t>Ecap</t>
  </si>
  <si>
    <t>Rutas Totales</t>
  </si>
  <si>
    <t>Rutas Atend.</t>
  </si>
  <si>
    <t>Rutas No Atend.</t>
  </si>
  <si>
    <t>Máx. Cap. Ruta</t>
  </si>
  <si>
    <t>Avg Cap. Ruta</t>
  </si>
  <si>
    <t>T. Planificación (ms)</t>
  </si>
  <si>
    <t>T. Simulación (ms)</t>
  </si>
  <si>
    <t>T. Total (ms)</t>
  </si>
  <si>
    <t>CPU %</t>
  </si>
  <si>
    <t>Memoria (MB)</t>
  </si>
  <si>
    <t>⬛ Caso Mínimo de Envíos  ·  690 maletas  ·  Fecha: 2026-01-02</t>
  </si>
  <si>
    <t>Caso Mínimo de Envíos</t>
  </si>
  <si>
    <t>MEDIA</t>
  </si>
  <si>
    <t>DESV. EST.</t>
  </si>
  <si>
    <t>⬛ Caso Intermedio Inferior  ·  8441 maletas  ·  Fecha: 2026-11-15</t>
  </si>
  <si>
    <t>Caso Intermedio Inferior</t>
  </si>
  <si>
    <t>⬛ Caso Operación Promedio  ·  16268 maletas  ·  Fecha: 2027-07-25</t>
  </si>
  <si>
    <t>Caso Operación Promedio</t>
  </si>
  <si>
    <t>⬛ Caso Intermedio Superior  ·  25578 maletas  ·  Fecha: 2028-04-23</t>
  </si>
  <si>
    <t>Caso Intermedio Superior</t>
  </si>
  <si>
    <t>⬛ Caso Máximo Estrés  ·  34849 maletas  ·  Fecha: 2029-01-03</t>
  </si>
  <si>
    <t>Caso Máximo Estrés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</si>
</sst>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14.0"/>
      <b val="true"/>
      <color rgb="FFFBBF24"/>
    </font>
    <font>
      <name val="Calibri"/>
      <sz val="10.0"/>
      <i val="true"/>
      <color rgb="FFF1F5F9"/>
    </font>
    <font>
      <name val="Calibri"/>
      <sz val="11.0"/>
      <b val="true"/>
      <color rgb="FFFBBF24"/>
    </font>
    <font>
      <name val="Calibri"/>
      <sz val="11.0"/>
      <b val="true"/>
      <color rgb="FFF1F5F9"/>
    </font>
    <font>
      <name val="Calibri"/>
      <sz val="10.0"/>
      <color rgb="FFF1F5F9"/>
    </font>
    <font>
      <name val="Calibri"/>
      <sz val="10.0"/>
      <color rgb="FFF1F5F9"/>
    </font>
    <font>
      <name val="Calibri"/>
      <sz val="10.0"/>
      <b val="true"/>
      <color rgb="FFF1F5F9"/>
    </font>
    <font>
      <name val="Calibri"/>
      <sz val="10.0"/>
      <b val="true"/>
      <color rgb="FFF1F5F9"/>
    </font>
    <font>
      <name val="Calibri"/>
      <sz val="10.0"/>
      <color rgb="FF34D399"/>
    </font>
    <font>
      <name val="Calibri"/>
      <sz val="10.0"/>
      <color rgb="FFEF4444"/>
    </font>
  </fonts>
  <fills count="12">
    <fill>
      <patternFill patternType="none"/>
    </fill>
    <fill>
      <patternFill patternType="darkGray"/>
    </fill>
    <fill>
      <patternFill patternType="none">
        <fgColor rgb="0F172A"/>
      </patternFill>
    </fill>
    <fill>
      <patternFill patternType="solid">
        <fgColor rgb="0F172A"/>
      </patternFill>
    </fill>
    <fill>
      <patternFill patternType="none">
        <fgColor rgb="1E293B"/>
      </patternFill>
    </fill>
    <fill>
      <patternFill patternType="solid">
        <fgColor rgb="1E293B"/>
      </patternFill>
    </fill>
    <fill>
      <patternFill patternType="none">
        <fgColor rgb="4338CA"/>
      </patternFill>
    </fill>
    <fill>
      <patternFill patternType="solid">
        <fgColor rgb="4338CA"/>
      </patternFill>
    </fill>
    <fill>
      <patternFill patternType="none">
        <fgColor rgb="059669"/>
      </patternFill>
    </fill>
    <fill>
      <patternFill patternType="solid">
        <fgColor rgb="059669"/>
      </patternFill>
    </fill>
    <fill>
      <patternFill patternType="none">
        <fgColor rgb="2563EB"/>
      </patternFill>
    </fill>
    <fill>
      <patternFill patternType="solid">
        <fgColor rgb="2563EB"/>
      </patternFill>
    </fill>
  </fills>
  <borders count="6">
    <border>
      <left/>
      <right/>
      <top/>
      <bottom/>
      <diagonal/>
    </border>
    <border>
      <bottom style="medium"/>
    </border>
    <border>
      <bottom style="medium">
        <color rgb="FBBF24"/>
      </bottom>
    </border>
    <border>
      <bottom style="thin"/>
    </border>
    <border>
      <top style="medium"/>
    </border>
    <border>
      <top style="medium"/>
      <bottom style="medium"/>
    </border>
  </borders>
  <cellStyleXfs count="1">
    <xf numFmtId="0" fontId="0" fillId="0" borderId="0"/>
  </cellStyleXfs>
  <cellXfs count="11">
    <xf numFmtId="0" fontId="0" fillId="0" borderId="0" xfId="0"/>
    <xf numFmtId="0" fontId="1" fillId="3" borderId="0" xfId="0" applyFill="true" applyFont="true" applyAlignment="true">
      <alignment horizontal="center" vertical="center"/>
    </xf>
    <xf numFmtId="0" fontId="2" fillId="3" borderId="0" xfId="0" applyFill="true" applyFont="true" applyAlignment="true">
      <alignment horizontal="center"/>
    </xf>
    <xf numFmtId="0" fontId="3" fillId="5" borderId="2" xfId="0" applyFill="true" applyFont="true" applyAlignment="true" applyBorder="true">
      <alignment horizontal="center"/>
    </xf>
    <xf numFmtId="0" fontId="4" fillId="7" borderId="0" xfId="0" applyFill="true" applyFont="true" applyAlignment="true">
      <alignment horizontal="left" vertical="center"/>
    </xf>
    <xf numFmtId="0" fontId="5" fillId="5" borderId="3" xfId="0" applyFill="true" applyFont="true" applyAlignment="true" applyBorder="true">
      <alignment horizontal="center"/>
    </xf>
    <xf numFmtId="0" fontId="6" fillId="3" borderId="3" xfId="0" applyFill="true" applyFont="true" applyAlignment="true" applyBorder="true">
      <alignment horizontal="center"/>
    </xf>
    <xf numFmtId="0" fontId="7" fillId="9" borderId="5" xfId="0" applyFill="true" applyFont="true" applyAlignment="true" applyBorder="true">
      <alignment horizontal="center"/>
    </xf>
    <xf numFmtId="0" fontId="8" fillId="11" borderId="5" xfId="0" applyFill="true" applyFont="true" applyAlignment="true" applyBorder="true">
      <alignment horizontal="center"/>
    </xf>
    <xf numFmtId="0" fontId="9" fillId="5" borderId="3" xfId="0" applyFill="true" applyFont="true" applyAlignment="true" applyBorder="true">
      <alignment horizontal="center"/>
    </xf>
    <xf numFmtId="0" fontId="10" fillId="5" borderId="3" xfId="0" applyFill="true" applyFont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73"/>
  <sheetViews>
    <sheetView workbookViewId="0" tabSelected="true">
      <pane ySplit="4.0" state="frozen" topLeftCell="A5" activePane="bottomLeft"/>
      <selection pane="bottomLeft"/>
    </sheetView>
  </sheetViews>
  <sheetFormatPr defaultRowHeight="15.0" baseColWidth="22"/>
  <cols>
    <col min="1" max="1" width="14.0" customWidth="true"/>
    <col min="2" max="2" width="30.0" customWidth="true"/>
    <col min="5" max="5" width="18.0" customWidth="true"/>
    <col min="17" max="17" width="20.0" customWidth="true"/>
  </cols>
  <sheetData>
    <row r="1" ht="28.0" customHeight="true">
      <c r="A1" t="s" s="1">
        <v>0</v>
      </c>
    </row>
    <row r="2" ht="18.0" customHeight="true">
      <c r="A2" t="s" s="2">
        <v>1</v>
      </c>
    </row>
    <row r="4" ht="22.0" customHeight="true">
      <c r="A4" t="s" s="3">
        <v>2</v>
      </c>
      <c r="B4" t="s" s="3">
        <v>3</v>
      </c>
      <c r="C4" t="s" s="3">
        <v>4</v>
      </c>
      <c r="D4" t="s" s="3">
        <v>5</v>
      </c>
      <c r="E4" t="s" s="3">
        <v>6</v>
      </c>
      <c r="F4" t="s" s="3">
        <v>7</v>
      </c>
      <c r="G4" t="s" s="3">
        <v>8</v>
      </c>
      <c r="H4" t="s" s="3">
        <v>9</v>
      </c>
      <c r="I4" t="s" s="3">
        <v>10</v>
      </c>
      <c r="J4" t="s" s="3">
        <v>11</v>
      </c>
      <c r="K4" t="s" s="3">
        <v>12</v>
      </c>
      <c r="L4" t="s" s="3">
        <v>13</v>
      </c>
      <c r="M4" t="s" s="3">
        <v>14</v>
      </c>
      <c r="N4" t="s" s="3">
        <v>15</v>
      </c>
      <c r="O4" t="s" s="3">
        <v>16</v>
      </c>
      <c r="P4" t="s" s="3">
        <v>17</v>
      </c>
      <c r="Q4" t="s" s="3">
        <v>18</v>
      </c>
      <c r="R4" t="s" s="3">
        <v>19</v>
      </c>
      <c r="S4" t="s" s="3">
        <v>20</v>
      </c>
      <c r="T4" t="s" s="3">
        <v>21</v>
      </c>
      <c r="U4" t="s" s="3">
        <v>22</v>
      </c>
    </row>
    <row r="5" ht="20.0" customHeight="true">
      <c r="A5" t="s" s="4">
        <v>23</v>
      </c>
    </row>
    <row r="6" ht="17.0" customHeight="true">
      <c r="A6" t="n" s="5">
        <v>1.0</v>
      </c>
      <c r="B6" t="s" s="5">
        <v>24</v>
      </c>
      <c r="C6" t="n" s="5">
        <v>690.0</v>
      </c>
      <c r="D6" t="n" s="5">
        <v>690.0</v>
      </c>
      <c r="E6" t="n" s="10">
        <v>-14143.23</v>
      </c>
      <c r="F6" t="n" s="5">
        <v>100.0</v>
      </c>
      <c r="G6" t="n" s="5">
        <v>0.1</v>
      </c>
      <c r="H6" t="n" s="5">
        <v>24.1</v>
      </c>
      <c r="I6" t="n" s="5">
        <v>0.0</v>
      </c>
      <c r="J6" t="n" s="5">
        <v>690.0</v>
      </c>
      <c r="K6" t="n" s="5">
        <v>0.0</v>
      </c>
      <c r="L6" t="n" s="5">
        <v>371.0</v>
      </c>
      <c r="M6" t="n" s="5">
        <v>371.0</v>
      </c>
      <c r="N6" t="n" s="5">
        <v>0.0</v>
      </c>
      <c r="O6" t="n" s="5">
        <v>7.0</v>
      </c>
      <c r="P6" t="n" s="5">
        <v>1.9</v>
      </c>
      <c r="Q6" t="n" s="5">
        <v>18154.0</v>
      </c>
      <c r="R6" t="n" s="5">
        <v>2.0</v>
      </c>
      <c r="S6" t="n" s="5">
        <v>18156.0</v>
      </c>
      <c r="T6" t="n" s="5">
        <v>6.7</v>
      </c>
      <c r="U6" t="n" s="5">
        <v>201.0</v>
      </c>
    </row>
    <row r="7" ht="17.0" customHeight="true">
      <c r="A7" t="n" s="6">
        <v>2.0</v>
      </c>
      <c r="B7" t="s" s="6">
        <v>24</v>
      </c>
      <c r="C7" t="n" s="6">
        <v>690.0</v>
      </c>
      <c r="D7" t="n" s="6">
        <v>690.0</v>
      </c>
      <c r="E7" t="n" s="10">
        <v>-14143.23</v>
      </c>
      <c r="F7" t="n" s="6">
        <v>100.0</v>
      </c>
      <c r="G7" t="n" s="6">
        <v>0.1</v>
      </c>
      <c r="H7" t="n" s="6">
        <v>24.1</v>
      </c>
      <c r="I7" t="n" s="6">
        <v>0.0</v>
      </c>
      <c r="J7" t="n" s="6">
        <v>690.0</v>
      </c>
      <c r="K7" t="n" s="6">
        <v>0.0</v>
      </c>
      <c r="L7" t="n" s="6">
        <v>371.0</v>
      </c>
      <c r="M7" t="n" s="6">
        <v>371.0</v>
      </c>
      <c r="N7" t="n" s="6">
        <v>0.0</v>
      </c>
      <c r="O7" t="n" s="6">
        <v>7.0</v>
      </c>
      <c r="P7" t="n" s="6">
        <v>1.9</v>
      </c>
      <c r="Q7" t="n" s="6">
        <v>18081.0</v>
      </c>
      <c r="R7" t="n" s="6">
        <v>2.0</v>
      </c>
      <c r="S7" t="n" s="6">
        <v>18083.0</v>
      </c>
      <c r="T7" t="n" s="6">
        <v>11.9</v>
      </c>
      <c r="U7" t="n" s="6">
        <v>78.1</v>
      </c>
    </row>
    <row r="8" ht="17.0" customHeight="true">
      <c r="A8" t="n" s="5">
        <v>3.0</v>
      </c>
      <c r="B8" t="s" s="5">
        <v>24</v>
      </c>
      <c r="C8" t="n" s="5">
        <v>690.0</v>
      </c>
      <c r="D8" t="n" s="5">
        <v>690.0</v>
      </c>
      <c r="E8" t="n" s="10">
        <v>-14143.23</v>
      </c>
      <c r="F8" t="n" s="5">
        <v>100.0</v>
      </c>
      <c r="G8" t="n" s="5">
        <v>0.1</v>
      </c>
      <c r="H8" t="n" s="5">
        <v>24.1</v>
      </c>
      <c r="I8" t="n" s="5">
        <v>0.0</v>
      </c>
      <c r="J8" t="n" s="5">
        <v>690.0</v>
      </c>
      <c r="K8" t="n" s="5">
        <v>0.0</v>
      </c>
      <c r="L8" t="n" s="5">
        <v>371.0</v>
      </c>
      <c r="M8" t="n" s="5">
        <v>371.0</v>
      </c>
      <c r="N8" t="n" s="5">
        <v>0.0</v>
      </c>
      <c r="O8" t="n" s="5">
        <v>7.0</v>
      </c>
      <c r="P8" t="n" s="5">
        <v>1.9</v>
      </c>
      <c r="Q8" t="n" s="5">
        <v>18254.0</v>
      </c>
      <c r="R8" t="n" s="5">
        <v>1.0</v>
      </c>
      <c r="S8" t="n" s="5">
        <v>18255.0</v>
      </c>
      <c r="T8" t="n" s="5">
        <v>14.3</v>
      </c>
      <c r="U8" t="n" s="5">
        <v>95.1</v>
      </c>
    </row>
    <row r="9" ht="17.0" customHeight="true">
      <c r="A9" t="n" s="6">
        <v>4.0</v>
      </c>
      <c r="B9" t="s" s="6">
        <v>24</v>
      </c>
      <c r="C9" t="n" s="6">
        <v>690.0</v>
      </c>
      <c r="D9" t="n" s="6">
        <v>690.0</v>
      </c>
      <c r="E9" t="n" s="10">
        <v>-14143.23</v>
      </c>
      <c r="F9" t="n" s="6">
        <v>100.0</v>
      </c>
      <c r="G9" t="n" s="6">
        <v>0.1</v>
      </c>
      <c r="H9" t="n" s="6">
        <v>24.1</v>
      </c>
      <c r="I9" t="n" s="6">
        <v>0.0</v>
      </c>
      <c r="J9" t="n" s="6">
        <v>690.0</v>
      </c>
      <c r="K9" t="n" s="6">
        <v>0.0</v>
      </c>
      <c r="L9" t="n" s="6">
        <v>371.0</v>
      </c>
      <c r="M9" t="n" s="6">
        <v>371.0</v>
      </c>
      <c r="N9" t="n" s="6">
        <v>0.0</v>
      </c>
      <c r="O9" t="n" s="6">
        <v>7.0</v>
      </c>
      <c r="P9" t="n" s="6">
        <v>1.9</v>
      </c>
      <c r="Q9" t="n" s="6">
        <v>18228.0</v>
      </c>
      <c r="R9" t="n" s="6">
        <v>1.0</v>
      </c>
      <c r="S9" t="n" s="6">
        <v>18229.0</v>
      </c>
      <c r="T9" t="n" s="6">
        <v>11.1</v>
      </c>
      <c r="U9" t="n" s="6">
        <v>228.0</v>
      </c>
    </row>
    <row r="10" ht="17.0" customHeight="true">
      <c r="A10" t="n" s="5">
        <v>5.0</v>
      </c>
      <c r="B10" t="s" s="5">
        <v>24</v>
      </c>
      <c r="C10" t="n" s="5">
        <v>690.0</v>
      </c>
      <c r="D10" t="n" s="5">
        <v>690.0</v>
      </c>
      <c r="E10" t="n" s="10">
        <v>-14143.23</v>
      </c>
      <c r="F10" t="n" s="5">
        <v>100.0</v>
      </c>
      <c r="G10" t="n" s="5">
        <v>0.1</v>
      </c>
      <c r="H10" t="n" s="5">
        <v>24.1</v>
      </c>
      <c r="I10" t="n" s="5">
        <v>0.0</v>
      </c>
      <c r="J10" t="n" s="5">
        <v>690.0</v>
      </c>
      <c r="K10" t="n" s="5">
        <v>0.0</v>
      </c>
      <c r="L10" t="n" s="5">
        <v>371.0</v>
      </c>
      <c r="M10" t="n" s="5">
        <v>371.0</v>
      </c>
      <c r="N10" t="n" s="5">
        <v>0.0</v>
      </c>
      <c r="O10" t="n" s="5">
        <v>7.0</v>
      </c>
      <c r="P10" t="n" s="5">
        <v>1.9</v>
      </c>
      <c r="Q10" t="n" s="5">
        <v>18164.0</v>
      </c>
      <c r="R10" t="n" s="5">
        <v>1.0</v>
      </c>
      <c r="S10" t="n" s="5">
        <v>18165.0</v>
      </c>
      <c r="T10" t="n" s="5">
        <v>11.3</v>
      </c>
      <c r="U10" t="n" s="5">
        <v>146.0</v>
      </c>
    </row>
    <row r="11" ht="17.0" customHeight="true">
      <c r="A11" t="n" s="6">
        <v>6.0</v>
      </c>
      <c r="B11" t="s" s="6">
        <v>24</v>
      </c>
      <c r="C11" t="n" s="6">
        <v>690.0</v>
      </c>
      <c r="D11" t="n" s="6">
        <v>690.0</v>
      </c>
      <c r="E11" t="n" s="10">
        <v>-14143.23</v>
      </c>
      <c r="F11" t="n" s="6">
        <v>100.0</v>
      </c>
      <c r="G11" t="n" s="6">
        <v>0.1</v>
      </c>
      <c r="H11" t="n" s="6">
        <v>24.1</v>
      </c>
      <c r="I11" t="n" s="6">
        <v>0.0</v>
      </c>
      <c r="J11" t="n" s="6">
        <v>690.0</v>
      </c>
      <c r="K11" t="n" s="6">
        <v>0.0</v>
      </c>
      <c r="L11" t="n" s="6">
        <v>371.0</v>
      </c>
      <c r="M11" t="n" s="6">
        <v>371.0</v>
      </c>
      <c r="N11" t="n" s="6">
        <v>0.0</v>
      </c>
      <c r="O11" t="n" s="6">
        <v>7.0</v>
      </c>
      <c r="P11" t="n" s="6">
        <v>1.9</v>
      </c>
      <c r="Q11" t="n" s="6">
        <v>18625.0</v>
      </c>
      <c r="R11" t="n" s="6">
        <v>2.0</v>
      </c>
      <c r="S11" t="n" s="6">
        <v>18627.0</v>
      </c>
      <c r="T11" t="n" s="6">
        <v>12.5</v>
      </c>
      <c r="U11" t="n" s="6">
        <v>127.9</v>
      </c>
    </row>
    <row r="12" ht="17.0" customHeight="true">
      <c r="A12" t="n" s="5">
        <v>7.0</v>
      </c>
      <c r="B12" t="s" s="5">
        <v>24</v>
      </c>
      <c r="C12" t="n" s="5">
        <v>690.0</v>
      </c>
      <c r="D12" t="n" s="5">
        <v>690.0</v>
      </c>
      <c r="E12" t="n" s="10">
        <v>-14143.23</v>
      </c>
      <c r="F12" t="n" s="5">
        <v>100.0</v>
      </c>
      <c r="G12" t="n" s="5">
        <v>0.1</v>
      </c>
      <c r="H12" t="n" s="5">
        <v>24.1</v>
      </c>
      <c r="I12" t="n" s="5">
        <v>0.0</v>
      </c>
      <c r="J12" t="n" s="5">
        <v>690.0</v>
      </c>
      <c r="K12" t="n" s="5">
        <v>0.0</v>
      </c>
      <c r="L12" t="n" s="5">
        <v>371.0</v>
      </c>
      <c r="M12" t="n" s="5">
        <v>371.0</v>
      </c>
      <c r="N12" t="n" s="5">
        <v>0.0</v>
      </c>
      <c r="O12" t="n" s="5">
        <v>7.0</v>
      </c>
      <c r="P12" t="n" s="5">
        <v>1.9</v>
      </c>
      <c r="Q12" t="n" s="5">
        <v>18231.0</v>
      </c>
      <c r="R12" t="n" s="5">
        <v>1.0</v>
      </c>
      <c r="S12" t="n" s="5">
        <v>18232.0</v>
      </c>
      <c r="T12" t="n" s="5">
        <v>13.7</v>
      </c>
      <c r="U12" t="n" s="5">
        <v>135.6</v>
      </c>
    </row>
    <row r="13" ht="17.0" customHeight="true">
      <c r="A13" t="n" s="6">
        <v>8.0</v>
      </c>
      <c r="B13" t="s" s="6">
        <v>24</v>
      </c>
      <c r="C13" t="n" s="6">
        <v>690.0</v>
      </c>
      <c r="D13" t="n" s="6">
        <v>690.0</v>
      </c>
      <c r="E13" t="n" s="10">
        <v>-14143.23</v>
      </c>
      <c r="F13" t="n" s="6">
        <v>100.0</v>
      </c>
      <c r="G13" t="n" s="6">
        <v>0.1</v>
      </c>
      <c r="H13" t="n" s="6">
        <v>24.1</v>
      </c>
      <c r="I13" t="n" s="6">
        <v>0.0</v>
      </c>
      <c r="J13" t="n" s="6">
        <v>690.0</v>
      </c>
      <c r="K13" t="n" s="6">
        <v>0.0</v>
      </c>
      <c r="L13" t="n" s="6">
        <v>371.0</v>
      </c>
      <c r="M13" t="n" s="6">
        <v>371.0</v>
      </c>
      <c r="N13" t="n" s="6">
        <v>0.0</v>
      </c>
      <c r="O13" t="n" s="6">
        <v>7.0</v>
      </c>
      <c r="P13" t="n" s="6">
        <v>1.9</v>
      </c>
      <c r="Q13" t="n" s="6">
        <v>18646.0</v>
      </c>
      <c r="R13" t="n" s="6">
        <v>1.0</v>
      </c>
      <c r="S13" t="n" s="6">
        <v>18647.0</v>
      </c>
      <c r="T13" t="n" s="6">
        <v>12.7</v>
      </c>
      <c r="U13" t="n" s="6">
        <v>273.4</v>
      </c>
    </row>
    <row r="14" ht="17.0" customHeight="true">
      <c r="A14" t="n" s="5">
        <v>9.0</v>
      </c>
      <c r="B14" t="s" s="5">
        <v>24</v>
      </c>
      <c r="C14" t="n" s="5">
        <v>690.0</v>
      </c>
      <c r="D14" t="n" s="5">
        <v>690.0</v>
      </c>
      <c r="E14" t="n" s="10">
        <v>-14143.23</v>
      </c>
      <c r="F14" t="n" s="5">
        <v>100.0</v>
      </c>
      <c r="G14" t="n" s="5">
        <v>0.1</v>
      </c>
      <c r="H14" t="n" s="5">
        <v>24.1</v>
      </c>
      <c r="I14" t="n" s="5">
        <v>0.0</v>
      </c>
      <c r="J14" t="n" s="5">
        <v>690.0</v>
      </c>
      <c r="K14" t="n" s="5">
        <v>0.0</v>
      </c>
      <c r="L14" t="n" s="5">
        <v>371.0</v>
      </c>
      <c r="M14" t="n" s="5">
        <v>371.0</v>
      </c>
      <c r="N14" t="n" s="5">
        <v>0.0</v>
      </c>
      <c r="O14" t="n" s="5">
        <v>7.0</v>
      </c>
      <c r="P14" t="n" s="5">
        <v>1.9</v>
      </c>
      <c r="Q14" t="n" s="5">
        <v>18559.0</v>
      </c>
      <c r="R14" t="n" s="5">
        <v>1.0</v>
      </c>
      <c r="S14" t="n" s="5">
        <v>18560.0</v>
      </c>
      <c r="T14" t="n" s="5">
        <v>11.9</v>
      </c>
      <c r="U14" t="n" s="5">
        <v>91.3</v>
      </c>
    </row>
    <row r="15" ht="17.0" customHeight="true">
      <c r="A15" t="n" s="6">
        <v>10.0</v>
      </c>
      <c r="B15" t="s" s="6">
        <v>24</v>
      </c>
      <c r="C15" t="n" s="6">
        <v>690.0</v>
      </c>
      <c r="D15" t="n" s="6">
        <v>690.0</v>
      </c>
      <c r="E15" t="n" s="10">
        <v>-14143.23</v>
      </c>
      <c r="F15" t="n" s="6">
        <v>100.0</v>
      </c>
      <c r="G15" t="n" s="6">
        <v>0.1</v>
      </c>
      <c r="H15" t="n" s="6">
        <v>24.1</v>
      </c>
      <c r="I15" t="n" s="6">
        <v>0.0</v>
      </c>
      <c r="J15" t="n" s="6">
        <v>690.0</v>
      </c>
      <c r="K15" t="n" s="6">
        <v>0.0</v>
      </c>
      <c r="L15" t="n" s="6">
        <v>371.0</v>
      </c>
      <c r="M15" t="n" s="6">
        <v>371.0</v>
      </c>
      <c r="N15" t="n" s="6">
        <v>0.0</v>
      </c>
      <c r="O15" t="n" s="6">
        <v>7.0</v>
      </c>
      <c r="P15" t="n" s="6">
        <v>1.9</v>
      </c>
      <c r="Q15" t="n" s="6">
        <v>18765.0</v>
      </c>
      <c r="R15" t="n" s="6">
        <v>2.0</v>
      </c>
      <c r="S15" t="n" s="6">
        <v>18767.0</v>
      </c>
      <c r="T15" t="n" s="6">
        <v>15.5</v>
      </c>
      <c r="U15" t="n" s="6">
        <v>262.2</v>
      </c>
    </row>
    <row r="16" ht="18.0" customHeight="true">
      <c r="A16" t="s" s="7">
        <v>25</v>
      </c>
      <c r="B16" t="s" s="7">
        <v>24</v>
      </c>
      <c r="C16" s="7">
        <f>AVERAGE(C6:C15)</f>
      </c>
      <c r="D16" s="7">
        <f>AVERAGE(D6:D15)</f>
      </c>
      <c r="E16" s="7">
        <f>AVERAGE(E6:E15)</f>
      </c>
      <c r="F16" s="7">
        <f>AVERAGE(F6:F15)</f>
      </c>
      <c r="G16" s="7">
        <f>AVERAGE(G6:G15)</f>
      </c>
      <c r="H16" s="7">
        <f>AVERAGE(H6:H15)</f>
      </c>
      <c r="I16" s="7">
        <f>AVERAGE(I6:I15)</f>
      </c>
      <c r="J16" s="7">
        <f>AVERAGE(J6:J15)</f>
      </c>
      <c r="K16" s="7">
        <f>AVERAGE(K6:K15)</f>
      </c>
      <c r="L16" s="7">
        <f>AVERAGE(L6:L15)</f>
      </c>
      <c r="M16" s="7">
        <f>AVERAGE(M6:M15)</f>
      </c>
      <c r="N16" s="7">
        <f>AVERAGE(N6:N15)</f>
      </c>
      <c r="O16" s="7">
        <f>AVERAGE(O6:O15)</f>
      </c>
      <c r="P16" s="7">
        <f>AVERAGE(P6:P15)</f>
      </c>
      <c r="Q16" s="7">
        <f>AVERAGE(Q6:Q15)</f>
      </c>
      <c r="R16" s="7">
        <f>AVERAGE(R6:R15)</f>
      </c>
      <c r="S16" s="7">
        <f>AVERAGE(S6:S15)</f>
      </c>
      <c r="T16" s="7">
        <f>AVERAGE(T6:T15)</f>
      </c>
      <c r="U16" s="7">
        <f>AVERAGE(U6:U15)</f>
      </c>
    </row>
    <row r="17" ht="18.0" customHeight="true">
      <c r="A17" t="s" s="8">
        <v>26</v>
      </c>
      <c r="B17" t="s" s="8">
        <v>24</v>
      </c>
      <c r="C17" s="8">
        <f>STDEV.P(C6:C15)</f>
      </c>
      <c r="D17" s="8">
        <f>STDEV.P(D6:D15)</f>
      </c>
      <c r="E17" s="8">
        <f>STDEV.P(E6:E15)</f>
      </c>
      <c r="F17" s="8">
        <f>STDEV.P(F6:F15)</f>
      </c>
      <c r="G17" s="8">
        <f>STDEV.P(G6:G15)</f>
      </c>
      <c r="H17" s="8">
        <f>STDEV.P(H6:H15)</f>
      </c>
      <c r="I17" s="8">
        <f>STDEV.P(I6:I15)</f>
      </c>
      <c r="J17" s="8">
        <f>STDEV.P(J6:J15)</f>
      </c>
      <c r="K17" s="8">
        <f>STDEV.P(K6:K15)</f>
      </c>
      <c r="L17" s="8">
        <f>STDEV.P(L6:L15)</f>
      </c>
      <c r="M17" s="8">
        <f>STDEV.P(M6:M15)</f>
      </c>
      <c r="N17" s="8">
        <f>STDEV.P(N6:N15)</f>
      </c>
      <c r="O17" s="8">
        <f>STDEV.P(O6:O15)</f>
      </c>
      <c r="P17" s="8">
        <f>STDEV.P(P6:P15)</f>
      </c>
      <c r="Q17" s="8">
        <f>STDEV.P(Q6:Q15)</f>
      </c>
      <c r="R17" s="8">
        <f>STDEV.P(R6:R15)</f>
      </c>
      <c r="S17" s="8">
        <f>STDEV.P(S6:S15)</f>
      </c>
      <c r="T17" s="8">
        <f>STDEV.P(T6:T15)</f>
      </c>
      <c r="U17" s="8">
        <f>STDEV.P(U6:U15)</f>
      </c>
    </row>
    <row r="19" ht="20.0" customHeight="true">
      <c r="A19" t="s" s="4">
        <v>27</v>
      </c>
    </row>
    <row r="20" ht="17.0" customHeight="true">
      <c r="A20" t="n" s="5">
        <v>1.0</v>
      </c>
      <c r="B20" t="s" s="5">
        <v>28</v>
      </c>
      <c r="C20" t="n" s="5">
        <v>8441.0</v>
      </c>
      <c r="D20" t="n" s="5">
        <v>8441.0</v>
      </c>
      <c r="E20" t="n" s="10">
        <v>-31813.8</v>
      </c>
      <c r="F20" t="n" s="5">
        <v>100.0</v>
      </c>
      <c r="G20" t="n" s="5">
        <v>0.9</v>
      </c>
      <c r="H20" t="n" s="5">
        <v>23.8</v>
      </c>
      <c r="I20" t="n" s="5">
        <v>0.0</v>
      </c>
      <c r="J20" t="n" s="5">
        <v>8441.0</v>
      </c>
      <c r="K20" t="n" s="5">
        <v>0.0</v>
      </c>
      <c r="L20" t="n" s="5">
        <v>845.0</v>
      </c>
      <c r="M20" t="n" s="5">
        <v>845.0</v>
      </c>
      <c r="N20" t="n" s="5">
        <v>0.0</v>
      </c>
      <c r="O20" t="n" s="5">
        <v>33.0</v>
      </c>
      <c r="P20" t="n" s="5">
        <v>10.0</v>
      </c>
      <c r="Q20" t="n" s="5">
        <v>43801.0</v>
      </c>
      <c r="R20" t="n" s="5">
        <v>3.0</v>
      </c>
      <c r="S20" t="n" s="5">
        <v>43804.0</v>
      </c>
      <c r="T20" t="n" s="5">
        <v>16.9</v>
      </c>
      <c r="U20" t="n" s="5">
        <v>85.8</v>
      </c>
    </row>
    <row r="21" ht="17.0" customHeight="true">
      <c r="A21" t="n" s="6">
        <v>2.0</v>
      </c>
      <c r="B21" t="s" s="6">
        <v>28</v>
      </c>
      <c r="C21" t="n" s="6">
        <v>8441.0</v>
      </c>
      <c r="D21" t="n" s="6">
        <v>8441.0</v>
      </c>
      <c r="E21" t="n" s="10">
        <v>-31813.8</v>
      </c>
      <c r="F21" t="n" s="6">
        <v>100.0</v>
      </c>
      <c r="G21" t="n" s="6">
        <v>0.9</v>
      </c>
      <c r="H21" t="n" s="6">
        <v>23.8</v>
      </c>
      <c r="I21" t="n" s="6">
        <v>0.0</v>
      </c>
      <c r="J21" t="n" s="6">
        <v>8441.0</v>
      </c>
      <c r="K21" t="n" s="6">
        <v>0.0</v>
      </c>
      <c r="L21" t="n" s="6">
        <v>845.0</v>
      </c>
      <c r="M21" t="n" s="6">
        <v>845.0</v>
      </c>
      <c r="N21" t="n" s="6">
        <v>0.0</v>
      </c>
      <c r="O21" t="n" s="6">
        <v>33.0</v>
      </c>
      <c r="P21" t="n" s="6">
        <v>10.0</v>
      </c>
      <c r="Q21" t="n" s="6">
        <v>42199.0</v>
      </c>
      <c r="R21" t="n" s="6">
        <v>3.0</v>
      </c>
      <c r="S21" t="n" s="6">
        <v>42202.0</v>
      </c>
      <c r="T21" t="n" s="6">
        <v>10.6</v>
      </c>
      <c r="U21" t="n" s="6">
        <v>127.7</v>
      </c>
    </row>
    <row r="22" ht="17.0" customHeight="true">
      <c r="A22" t="n" s="5">
        <v>3.0</v>
      </c>
      <c r="B22" t="s" s="5">
        <v>28</v>
      </c>
      <c r="C22" t="n" s="5">
        <v>8441.0</v>
      </c>
      <c r="D22" t="n" s="5">
        <v>8441.0</v>
      </c>
      <c r="E22" t="n" s="10">
        <v>-31813.8</v>
      </c>
      <c r="F22" t="n" s="5">
        <v>100.0</v>
      </c>
      <c r="G22" t="n" s="5">
        <v>0.9</v>
      </c>
      <c r="H22" t="n" s="5">
        <v>23.8</v>
      </c>
      <c r="I22" t="n" s="5">
        <v>0.0</v>
      </c>
      <c r="J22" t="n" s="5">
        <v>8441.0</v>
      </c>
      <c r="K22" t="n" s="5">
        <v>0.0</v>
      </c>
      <c r="L22" t="n" s="5">
        <v>845.0</v>
      </c>
      <c r="M22" t="n" s="5">
        <v>845.0</v>
      </c>
      <c r="N22" t="n" s="5">
        <v>0.0</v>
      </c>
      <c r="O22" t="n" s="5">
        <v>33.0</v>
      </c>
      <c r="P22" t="n" s="5">
        <v>10.0</v>
      </c>
      <c r="Q22" t="n" s="5">
        <v>42426.0</v>
      </c>
      <c r="R22" t="n" s="5">
        <v>3.0</v>
      </c>
      <c r="S22" t="n" s="5">
        <v>42429.0</v>
      </c>
      <c r="T22" t="n" s="5">
        <v>10.3</v>
      </c>
      <c r="U22" t="n" s="5">
        <v>88.9</v>
      </c>
    </row>
    <row r="23" ht="17.0" customHeight="true">
      <c r="A23" t="n" s="6">
        <v>4.0</v>
      </c>
      <c r="B23" t="s" s="6">
        <v>28</v>
      </c>
      <c r="C23" t="n" s="6">
        <v>8441.0</v>
      </c>
      <c r="D23" t="n" s="6">
        <v>8441.0</v>
      </c>
      <c r="E23" t="n" s="10">
        <v>-31813.8</v>
      </c>
      <c r="F23" t="n" s="6">
        <v>100.0</v>
      </c>
      <c r="G23" t="n" s="6">
        <v>0.9</v>
      </c>
      <c r="H23" t="n" s="6">
        <v>23.8</v>
      </c>
      <c r="I23" t="n" s="6">
        <v>0.0</v>
      </c>
      <c r="J23" t="n" s="6">
        <v>8441.0</v>
      </c>
      <c r="K23" t="n" s="6">
        <v>0.0</v>
      </c>
      <c r="L23" t="n" s="6">
        <v>845.0</v>
      </c>
      <c r="M23" t="n" s="6">
        <v>845.0</v>
      </c>
      <c r="N23" t="n" s="6">
        <v>0.0</v>
      </c>
      <c r="O23" t="n" s="6">
        <v>33.0</v>
      </c>
      <c r="P23" t="n" s="6">
        <v>10.0</v>
      </c>
      <c r="Q23" t="n" s="6">
        <v>42623.0</v>
      </c>
      <c r="R23" t="n" s="6">
        <v>3.0</v>
      </c>
      <c r="S23" t="n" s="6">
        <v>42626.0</v>
      </c>
      <c r="T23" t="n" s="6">
        <v>10.7</v>
      </c>
      <c r="U23" t="n" s="6">
        <v>94.8</v>
      </c>
    </row>
    <row r="24" ht="17.0" customHeight="true">
      <c r="A24" t="n" s="5">
        <v>5.0</v>
      </c>
      <c r="B24" t="s" s="5">
        <v>28</v>
      </c>
      <c r="C24" t="n" s="5">
        <v>8441.0</v>
      </c>
      <c r="D24" t="n" s="5">
        <v>8441.0</v>
      </c>
      <c r="E24" t="n" s="10">
        <v>-31813.8</v>
      </c>
      <c r="F24" t="n" s="5">
        <v>100.0</v>
      </c>
      <c r="G24" t="n" s="5">
        <v>0.9</v>
      </c>
      <c r="H24" t="n" s="5">
        <v>23.8</v>
      </c>
      <c r="I24" t="n" s="5">
        <v>0.0</v>
      </c>
      <c r="J24" t="n" s="5">
        <v>8441.0</v>
      </c>
      <c r="K24" t="n" s="5">
        <v>0.0</v>
      </c>
      <c r="L24" t="n" s="5">
        <v>845.0</v>
      </c>
      <c r="M24" t="n" s="5">
        <v>845.0</v>
      </c>
      <c r="N24" t="n" s="5">
        <v>0.0</v>
      </c>
      <c r="O24" t="n" s="5">
        <v>33.0</v>
      </c>
      <c r="P24" t="n" s="5">
        <v>10.0</v>
      </c>
      <c r="Q24" t="n" s="5">
        <v>42953.0</v>
      </c>
      <c r="R24" t="n" s="5">
        <v>2.0</v>
      </c>
      <c r="S24" t="n" s="5">
        <v>42955.0</v>
      </c>
      <c r="T24" t="n" s="5">
        <v>11.3</v>
      </c>
      <c r="U24" t="n" s="5">
        <v>152.6</v>
      </c>
    </row>
    <row r="25" ht="17.0" customHeight="true">
      <c r="A25" t="n" s="6">
        <v>6.0</v>
      </c>
      <c r="B25" t="s" s="6">
        <v>28</v>
      </c>
      <c r="C25" t="n" s="6">
        <v>8441.0</v>
      </c>
      <c r="D25" t="n" s="6">
        <v>8441.0</v>
      </c>
      <c r="E25" t="n" s="10">
        <v>-31813.8</v>
      </c>
      <c r="F25" t="n" s="6">
        <v>100.0</v>
      </c>
      <c r="G25" t="n" s="6">
        <v>0.9</v>
      </c>
      <c r="H25" t="n" s="6">
        <v>23.8</v>
      </c>
      <c r="I25" t="n" s="6">
        <v>0.0</v>
      </c>
      <c r="J25" t="n" s="6">
        <v>8441.0</v>
      </c>
      <c r="K25" t="n" s="6">
        <v>0.0</v>
      </c>
      <c r="L25" t="n" s="6">
        <v>845.0</v>
      </c>
      <c r="M25" t="n" s="6">
        <v>845.0</v>
      </c>
      <c r="N25" t="n" s="6">
        <v>0.0</v>
      </c>
      <c r="O25" t="n" s="6">
        <v>33.0</v>
      </c>
      <c r="P25" t="n" s="6">
        <v>10.0</v>
      </c>
      <c r="Q25" t="n" s="6">
        <v>43097.0</v>
      </c>
      <c r="R25" t="n" s="6">
        <v>3.0</v>
      </c>
      <c r="S25" t="n" s="6">
        <v>43100.0</v>
      </c>
      <c r="T25" t="n" s="6">
        <v>14.4</v>
      </c>
      <c r="U25" t="n" s="6">
        <v>249.5</v>
      </c>
    </row>
    <row r="26" ht="17.0" customHeight="true">
      <c r="A26" t="n" s="5">
        <v>7.0</v>
      </c>
      <c r="B26" t="s" s="5">
        <v>28</v>
      </c>
      <c r="C26" t="n" s="5">
        <v>8441.0</v>
      </c>
      <c r="D26" t="n" s="5">
        <v>8441.0</v>
      </c>
      <c r="E26" t="n" s="10">
        <v>-31813.8</v>
      </c>
      <c r="F26" t="n" s="5">
        <v>100.0</v>
      </c>
      <c r="G26" t="n" s="5">
        <v>0.9</v>
      </c>
      <c r="H26" t="n" s="5">
        <v>23.8</v>
      </c>
      <c r="I26" t="n" s="5">
        <v>0.0</v>
      </c>
      <c r="J26" t="n" s="5">
        <v>8441.0</v>
      </c>
      <c r="K26" t="n" s="5">
        <v>0.0</v>
      </c>
      <c r="L26" t="n" s="5">
        <v>845.0</v>
      </c>
      <c r="M26" t="n" s="5">
        <v>845.0</v>
      </c>
      <c r="N26" t="n" s="5">
        <v>0.0</v>
      </c>
      <c r="O26" t="n" s="5">
        <v>33.0</v>
      </c>
      <c r="P26" t="n" s="5">
        <v>10.0</v>
      </c>
      <c r="Q26" t="n" s="5">
        <v>42072.0</v>
      </c>
      <c r="R26" t="n" s="5">
        <v>2.0</v>
      </c>
      <c r="S26" t="n" s="5">
        <v>42074.0</v>
      </c>
      <c r="T26" t="n" s="5">
        <v>11.2</v>
      </c>
      <c r="U26" t="n" s="5">
        <v>242.3</v>
      </c>
    </row>
    <row r="27" ht="17.0" customHeight="true">
      <c r="A27" t="n" s="6">
        <v>8.0</v>
      </c>
      <c r="B27" t="s" s="6">
        <v>28</v>
      </c>
      <c r="C27" t="n" s="6">
        <v>8441.0</v>
      </c>
      <c r="D27" t="n" s="6">
        <v>8441.0</v>
      </c>
      <c r="E27" t="n" s="10">
        <v>-31813.8</v>
      </c>
      <c r="F27" t="n" s="6">
        <v>100.0</v>
      </c>
      <c r="G27" t="n" s="6">
        <v>0.9</v>
      </c>
      <c r="H27" t="n" s="6">
        <v>23.8</v>
      </c>
      <c r="I27" t="n" s="6">
        <v>0.0</v>
      </c>
      <c r="J27" t="n" s="6">
        <v>8441.0</v>
      </c>
      <c r="K27" t="n" s="6">
        <v>0.0</v>
      </c>
      <c r="L27" t="n" s="6">
        <v>845.0</v>
      </c>
      <c r="M27" t="n" s="6">
        <v>845.0</v>
      </c>
      <c r="N27" t="n" s="6">
        <v>0.0</v>
      </c>
      <c r="O27" t="n" s="6">
        <v>33.0</v>
      </c>
      <c r="P27" t="n" s="6">
        <v>10.0</v>
      </c>
      <c r="Q27" t="n" s="6">
        <v>42912.0</v>
      </c>
      <c r="R27" t="n" s="6">
        <v>3.0</v>
      </c>
      <c r="S27" t="n" s="6">
        <v>42915.0</v>
      </c>
      <c r="T27" t="n" s="6">
        <v>12.4</v>
      </c>
      <c r="U27" t="n" s="6">
        <v>210.1</v>
      </c>
    </row>
    <row r="28" ht="17.0" customHeight="true">
      <c r="A28" t="n" s="5">
        <v>9.0</v>
      </c>
      <c r="B28" t="s" s="5">
        <v>28</v>
      </c>
      <c r="C28" t="n" s="5">
        <v>8441.0</v>
      </c>
      <c r="D28" t="n" s="5">
        <v>8441.0</v>
      </c>
      <c r="E28" t="n" s="10">
        <v>-31813.8</v>
      </c>
      <c r="F28" t="n" s="5">
        <v>100.0</v>
      </c>
      <c r="G28" t="n" s="5">
        <v>0.9</v>
      </c>
      <c r="H28" t="n" s="5">
        <v>23.8</v>
      </c>
      <c r="I28" t="n" s="5">
        <v>0.0</v>
      </c>
      <c r="J28" t="n" s="5">
        <v>8441.0</v>
      </c>
      <c r="K28" t="n" s="5">
        <v>0.0</v>
      </c>
      <c r="L28" t="n" s="5">
        <v>845.0</v>
      </c>
      <c r="M28" t="n" s="5">
        <v>845.0</v>
      </c>
      <c r="N28" t="n" s="5">
        <v>0.0</v>
      </c>
      <c r="O28" t="n" s="5">
        <v>33.0</v>
      </c>
      <c r="P28" t="n" s="5">
        <v>10.0</v>
      </c>
      <c r="Q28" t="n" s="5">
        <v>42733.0</v>
      </c>
      <c r="R28" t="n" s="5">
        <v>2.0</v>
      </c>
      <c r="S28" t="n" s="5">
        <v>42735.0</v>
      </c>
      <c r="T28" t="n" s="5">
        <v>12.4</v>
      </c>
      <c r="U28" t="n" s="5">
        <v>284.0</v>
      </c>
    </row>
    <row r="29" ht="17.0" customHeight="true">
      <c r="A29" t="n" s="6">
        <v>10.0</v>
      </c>
      <c r="B29" t="s" s="6">
        <v>28</v>
      </c>
      <c r="C29" t="n" s="6">
        <v>8441.0</v>
      </c>
      <c r="D29" t="n" s="6">
        <v>8441.0</v>
      </c>
      <c r="E29" t="n" s="10">
        <v>-31813.8</v>
      </c>
      <c r="F29" t="n" s="6">
        <v>100.0</v>
      </c>
      <c r="G29" t="n" s="6">
        <v>0.9</v>
      </c>
      <c r="H29" t="n" s="6">
        <v>23.8</v>
      </c>
      <c r="I29" t="n" s="6">
        <v>0.0</v>
      </c>
      <c r="J29" t="n" s="6">
        <v>8441.0</v>
      </c>
      <c r="K29" t="n" s="6">
        <v>0.0</v>
      </c>
      <c r="L29" t="n" s="6">
        <v>845.0</v>
      </c>
      <c r="M29" t="n" s="6">
        <v>845.0</v>
      </c>
      <c r="N29" t="n" s="6">
        <v>0.0</v>
      </c>
      <c r="O29" t="n" s="6">
        <v>33.0</v>
      </c>
      <c r="P29" t="n" s="6">
        <v>10.0</v>
      </c>
      <c r="Q29" t="n" s="6">
        <v>43345.0</v>
      </c>
      <c r="R29" t="n" s="6">
        <v>3.0</v>
      </c>
      <c r="S29" t="n" s="6">
        <v>43348.0</v>
      </c>
      <c r="T29" t="n" s="6">
        <v>15.2</v>
      </c>
      <c r="U29" t="n" s="6">
        <v>254.8</v>
      </c>
    </row>
    <row r="30" ht="18.0" customHeight="true">
      <c r="A30" t="s" s="7">
        <v>25</v>
      </c>
      <c r="B30" t="s" s="7">
        <v>28</v>
      </c>
      <c r="C30" s="7">
        <f>AVERAGE(C20:C29)</f>
      </c>
      <c r="D30" s="7">
        <f>AVERAGE(D20:D29)</f>
      </c>
      <c r="E30" s="7">
        <f>AVERAGE(E20:E29)</f>
      </c>
      <c r="F30" s="7">
        <f>AVERAGE(F20:F29)</f>
      </c>
      <c r="G30" s="7">
        <f>AVERAGE(G20:G29)</f>
      </c>
      <c r="H30" s="7">
        <f>AVERAGE(H20:H29)</f>
      </c>
      <c r="I30" s="7">
        <f>AVERAGE(I20:I29)</f>
      </c>
      <c r="J30" s="7">
        <f>AVERAGE(J20:J29)</f>
      </c>
      <c r="K30" s="7">
        <f>AVERAGE(K20:K29)</f>
      </c>
      <c r="L30" s="7">
        <f>AVERAGE(L20:L29)</f>
      </c>
      <c r="M30" s="7">
        <f>AVERAGE(M20:M29)</f>
      </c>
      <c r="N30" s="7">
        <f>AVERAGE(N20:N29)</f>
      </c>
      <c r="O30" s="7">
        <f>AVERAGE(O20:O29)</f>
      </c>
      <c r="P30" s="7">
        <f>AVERAGE(P20:P29)</f>
      </c>
      <c r="Q30" s="7">
        <f>AVERAGE(Q20:Q29)</f>
      </c>
      <c r="R30" s="7">
        <f>AVERAGE(R20:R29)</f>
      </c>
      <c r="S30" s="7">
        <f>AVERAGE(S20:S29)</f>
      </c>
      <c r="T30" s="7">
        <f>AVERAGE(T20:T29)</f>
      </c>
      <c r="U30" s="7">
        <f>AVERAGE(U20:U29)</f>
      </c>
    </row>
    <row r="31" ht="18.0" customHeight="true">
      <c r="A31" t="s" s="8">
        <v>26</v>
      </c>
      <c r="B31" t="s" s="8">
        <v>28</v>
      </c>
      <c r="C31" s="8">
        <f>STDEV.P(C20:C29)</f>
      </c>
      <c r="D31" s="8">
        <f>STDEV.P(D20:D29)</f>
      </c>
      <c r="E31" s="8">
        <f>STDEV.P(E20:E29)</f>
      </c>
      <c r="F31" s="8">
        <f>STDEV.P(F20:F29)</f>
      </c>
      <c r="G31" s="8">
        <f>STDEV.P(G20:G29)</f>
      </c>
      <c r="H31" s="8">
        <f>STDEV.P(H20:H29)</f>
      </c>
      <c r="I31" s="8">
        <f>STDEV.P(I20:I29)</f>
      </c>
      <c r="J31" s="8">
        <f>STDEV.P(J20:J29)</f>
      </c>
      <c r="K31" s="8">
        <f>STDEV.P(K20:K29)</f>
      </c>
      <c r="L31" s="8">
        <f>STDEV.P(L20:L29)</f>
      </c>
      <c r="M31" s="8">
        <f>STDEV.P(M20:M29)</f>
      </c>
      <c r="N31" s="8">
        <f>STDEV.P(N20:N29)</f>
      </c>
      <c r="O31" s="8">
        <f>STDEV.P(O20:O29)</f>
      </c>
      <c r="P31" s="8">
        <f>STDEV.P(P20:P29)</f>
      </c>
      <c r="Q31" s="8">
        <f>STDEV.P(Q20:Q29)</f>
      </c>
      <c r="R31" s="8">
        <f>STDEV.P(R20:R29)</f>
      </c>
      <c r="S31" s="8">
        <f>STDEV.P(S20:S29)</f>
      </c>
      <c r="T31" s="8">
        <f>STDEV.P(T20:T29)</f>
      </c>
      <c r="U31" s="8">
        <f>STDEV.P(U20:U29)</f>
      </c>
    </row>
    <row r="33" ht="20.0" customHeight="true">
      <c r="A33" t="s" s="4">
        <v>29</v>
      </c>
    </row>
    <row r="34" ht="17.0" customHeight="true">
      <c r="A34" t="n" s="5">
        <v>1.0</v>
      </c>
      <c r="B34" t="s" s="5">
        <v>30</v>
      </c>
      <c r="C34" t="n" s="5">
        <v>16268.0</v>
      </c>
      <c r="D34" t="n" s="5">
        <v>16268.0</v>
      </c>
      <c r="E34" t="n" s="10">
        <v>-32525.83</v>
      </c>
      <c r="F34" t="n" s="5">
        <v>100.0</v>
      </c>
      <c r="G34" t="n" s="5">
        <v>1.7</v>
      </c>
      <c r="H34" t="n" s="5">
        <v>23.9</v>
      </c>
      <c r="I34" t="n" s="5">
        <v>1.0</v>
      </c>
      <c r="J34" t="n" s="5">
        <v>16268.0</v>
      </c>
      <c r="K34" t="n" s="5">
        <v>0.0</v>
      </c>
      <c r="L34" t="n" s="5">
        <v>858.0</v>
      </c>
      <c r="M34" t="n" s="5">
        <v>858.0</v>
      </c>
      <c r="N34" t="n" s="5">
        <v>0.0</v>
      </c>
      <c r="O34" t="n" s="5">
        <v>93.0</v>
      </c>
      <c r="P34" t="n" s="5">
        <v>19.0</v>
      </c>
      <c r="Q34" t="n" s="5">
        <v>42867.0</v>
      </c>
      <c r="R34" t="n" s="5">
        <v>2.0</v>
      </c>
      <c r="S34" t="n" s="5">
        <v>42869.0</v>
      </c>
      <c r="T34" t="n" s="5">
        <v>10.7</v>
      </c>
      <c r="U34" t="n" s="5">
        <v>246.3</v>
      </c>
    </row>
    <row r="35" ht="17.0" customHeight="true">
      <c r="A35" t="n" s="6">
        <v>2.0</v>
      </c>
      <c r="B35" t="s" s="6">
        <v>30</v>
      </c>
      <c r="C35" t="n" s="6">
        <v>16268.0</v>
      </c>
      <c r="D35" t="n" s="6">
        <v>16268.0</v>
      </c>
      <c r="E35" t="n" s="10">
        <v>-32525.83</v>
      </c>
      <c r="F35" t="n" s="6">
        <v>100.0</v>
      </c>
      <c r="G35" t="n" s="6">
        <v>1.7</v>
      </c>
      <c r="H35" t="n" s="6">
        <v>23.9</v>
      </c>
      <c r="I35" t="n" s="6">
        <v>1.0</v>
      </c>
      <c r="J35" t="n" s="6">
        <v>16268.0</v>
      </c>
      <c r="K35" t="n" s="6">
        <v>0.0</v>
      </c>
      <c r="L35" t="n" s="6">
        <v>858.0</v>
      </c>
      <c r="M35" t="n" s="6">
        <v>858.0</v>
      </c>
      <c r="N35" t="n" s="6">
        <v>0.0</v>
      </c>
      <c r="O35" t="n" s="6">
        <v>93.0</v>
      </c>
      <c r="P35" t="n" s="6">
        <v>19.0</v>
      </c>
      <c r="Q35" t="n" s="6">
        <v>42249.0</v>
      </c>
      <c r="R35" t="n" s="6">
        <v>1.0</v>
      </c>
      <c r="S35" t="n" s="6">
        <v>42250.0</v>
      </c>
      <c r="T35" t="n" s="6">
        <v>10.5</v>
      </c>
      <c r="U35" t="n" s="6">
        <v>126.4</v>
      </c>
    </row>
    <row r="36" ht="17.0" customHeight="true">
      <c r="A36" t="n" s="5">
        <v>3.0</v>
      </c>
      <c r="B36" t="s" s="5">
        <v>30</v>
      </c>
      <c r="C36" t="n" s="5">
        <v>16268.0</v>
      </c>
      <c r="D36" t="n" s="5">
        <v>16268.0</v>
      </c>
      <c r="E36" t="n" s="10">
        <v>-32525.83</v>
      </c>
      <c r="F36" t="n" s="5">
        <v>100.0</v>
      </c>
      <c r="G36" t="n" s="5">
        <v>1.7</v>
      </c>
      <c r="H36" t="n" s="5">
        <v>23.9</v>
      </c>
      <c r="I36" t="n" s="5">
        <v>1.0</v>
      </c>
      <c r="J36" t="n" s="5">
        <v>16268.0</v>
      </c>
      <c r="K36" t="n" s="5">
        <v>0.0</v>
      </c>
      <c r="L36" t="n" s="5">
        <v>858.0</v>
      </c>
      <c r="M36" t="n" s="5">
        <v>858.0</v>
      </c>
      <c r="N36" t="n" s="5">
        <v>0.0</v>
      </c>
      <c r="O36" t="n" s="5">
        <v>93.0</v>
      </c>
      <c r="P36" t="n" s="5">
        <v>19.0</v>
      </c>
      <c r="Q36" t="n" s="5">
        <v>42462.0</v>
      </c>
      <c r="R36" t="n" s="5">
        <v>1.0</v>
      </c>
      <c r="S36" t="n" s="5">
        <v>42463.0</v>
      </c>
      <c r="T36" t="n" s="5">
        <v>10.1</v>
      </c>
      <c r="U36" t="n" s="5">
        <v>231.5</v>
      </c>
    </row>
    <row r="37" ht="17.0" customHeight="true">
      <c r="A37" t="n" s="6">
        <v>4.0</v>
      </c>
      <c r="B37" t="s" s="6">
        <v>30</v>
      </c>
      <c r="C37" t="n" s="6">
        <v>16268.0</v>
      </c>
      <c r="D37" t="n" s="6">
        <v>16268.0</v>
      </c>
      <c r="E37" t="n" s="10">
        <v>-32525.83</v>
      </c>
      <c r="F37" t="n" s="6">
        <v>100.0</v>
      </c>
      <c r="G37" t="n" s="6">
        <v>1.7</v>
      </c>
      <c r="H37" t="n" s="6">
        <v>23.9</v>
      </c>
      <c r="I37" t="n" s="6">
        <v>1.0</v>
      </c>
      <c r="J37" t="n" s="6">
        <v>16268.0</v>
      </c>
      <c r="K37" t="n" s="6">
        <v>0.0</v>
      </c>
      <c r="L37" t="n" s="6">
        <v>858.0</v>
      </c>
      <c r="M37" t="n" s="6">
        <v>858.0</v>
      </c>
      <c r="N37" t="n" s="6">
        <v>0.0</v>
      </c>
      <c r="O37" t="n" s="6">
        <v>93.0</v>
      </c>
      <c r="P37" t="n" s="6">
        <v>19.0</v>
      </c>
      <c r="Q37" t="n" s="6">
        <v>42874.0</v>
      </c>
      <c r="R37" t="n" s="6">
        <v>2.0</v>
      </c>
      <c r="S37" t="n" s="6">
        <v>42876.0</v>
      </c>
      <c r="T37" t="n" s="6">
        <v>11.4</v>
      </c>
      <c r="U37" t="n" s="6">
        <v>252.3</v>
      </c>
    </row>
    <row r="38" ht="17.0" customHeight="true">
      <c r="A38" t="n" s="5">
        <v>5.0</v>
      </c>
      <c r="B38" t="s" s="5">
        <v>30</v>
      </c>
      <c r="C38" t="n" s="5">
        <v>16268.0</v>
      </c>
      <c r="D38" t="n" s="5">
        <v>16268.0</v>
      </c>
      <c r="E38" t="n" s="10">
        <v>-32525.83</v>
      </c>
      <c r="F38" t="n" s="5">
        <v>100.0</v>
      </c>
      <c r="G38" t="n" s="5">
        <v>1.7</v>
      </c>
      <c r="H38" t="n" s="5">
        <v>23.9</v>
      </c>
      <c r="I38" t="n" s="5">
        <v>1.0</v>
      </c>
      <c r="J38" t="n" s="5">
        <v>16268.0</v>
      </c>
      <c r="K38" t="n" s="5">
        <v>0.0</v>
      </c>
      <c r="L38" t="n" s="5">
        <v>858.0</v>
      </c>
      <c r="M38" t="n" s="5">
        <v>858.0</v>
      </c>
      <c r="N38" t="n" s="5">
        <v>0.0</v>
      </c>
      <c r="O38" t="n" s="5">
        <v>93.0</v>
      </c>
      <c r="P38" t="n" s="5">
        <v>19.0</v>
      </c>
      <c r="Q38" t="n" s="5">
        <v>43242.0</v>
      </c>
      <c r="R38" t="n" s="5">
        <v>2.0</v>
      </c>
      <c r="S38" t="n" s="5">
        <v>43244.0</v>
      </c>
      <c r="T38" t="n" s="5">
        <v>19.7</v>
      </c>
      <c r="U38" t="n" s="5">
        <v>263.6</v>
      </c>
    </row>
    <row r="39" ht="17.0" customHeight="true">
      <c r="A39" t="n" s="6">
        <v>6.0</v>
      </c>
      <c r="B39" t="s" s="6">
        <v>30</v>
      </c>
      <c r="C39" t="n" s="6">
        <v>16268.0</v>
      </c>
      <c r="D39" t="n" s="6">
        <v>16268.0</v>
      </c>
      <c r="E39" t="n" s="10">
        <v>-32525.83</v>
      </c>
      <c r="F39" t="n" s="6">
        <v>100.0</v>
      </c>
      <c r="G39" t="n" s="6">
        <v>1.7</v>
      </c>
      <c r="H39" t="n" s="6">
        <v>23.9</v>
      </c>
      <c r="I39" t="n" s="6">
        <v>1.0</v>
      </c>
      <c r="J39" t="n" s="6">
        <v>16268.0</v>
      </c>
      <c r="K39" t="n" s="6">
        <v>0.0</v>
      </c>
      <c r="L39" t="n" s="6">
        <v>858.0</v>
      </c>
      <c r="M39" t="n" s="6">
        <v>858.0</v>
      </c>
      <c r="N39" t="n" s="6">
        <v>0.0</v>
      </c>
      <c r="O39" t="n" s="6">
        <v>93.0</v>
      </c>
      <c r="P39" t="n" s="6">
        <v>19.0</v>
      </c>
      <c r="Q39" t="n" s="6">
        <v>42697.0</v>
      </c>
      <c r="R39" t="n" s="6">
        <v>1.0</v>
      </c>
      <c r="S39" t="n" s="6">
        <v>42698.0</v>
      </c>
      <c r="T39" t="n" s="6">
        <v>14.2</v>
      </c>
      <c r="U39" t="n" s="6">
        <v>176.2</v>
      </c>
    </row>
    <row r="40" ht="17.0" customHeight="true">
      <c r="A40" t="n" s="5">
        <v>7.0</v>
      </c>
      <c r="B40" t="s" s="5">
        <v>30</v>
      </c>
      <c r="C40" t="n" s="5">
        <v>16268.0</v>
      </c>
      <c r="D40" t="n" s="5">
        <v>16268.0</v>
      </c>
      <c r="E40" t="n" s="10">
        <v>-32525.83</v>
      </c>
      <c r="F40" t="n" s="5">
        <v>100.0</v>
      </c>
      <c r="G40" t="n" s="5">
        <v>1.7</v>
      </c>
      <c r="H40" t="n" s="5">
        <v>23.9</v>
      </c>
      <c r="I40" t="n" s="5">
        <v>1.0</v>
      </c>
      <c r="J40" t="n" s="5">
        <v>16268.0</v>
      </c>
      <c r="K40" t="n" s="5">
        <v>0.0</v>
      </c>
      <c r="L40" t="n" s="5">
        <v>858.0</v>
      </c>
      <c r="M40" t="n" s="5">
        <v>858.0</v>
      </c>
      <c r="N40" t="n" s="5">
        <v>0.0</v>
      </c>
      <c r="O40" t="n" s="5">
        <v>93.0</v>
      </c>
      <c r="P40" t="n" s="5">
        <v>19.0</v>
      </c>
      <c r="Q40" t="n" s="5">
        <v>42400.0</v>
      </c>
      <c r="R40" t="n" s="5">
        <v>1.0</v>
      </c>
      <c r="S40" t="n" s="5">
        <v>42401.0</v>
      </c>
      <c r="T40" t="n" s="5">
        <v>10.9</v>
      </c>
      <c r="U40" t="n" s="5">
        <v>239.9</v>
      </c>
    </row>
    <row r="41" ht="17.0" customHeight="true">
      <c r="A41" t="n" s="6">
        <v>8.0</v>
      </c>
      <c r="B41" t="s" s="6">
        <v>30</v>
      </c>
      <c r="C41" t="n" s="6">
        <v>16268.0</v>
      </c>
      <c r="D41" t="n" s="6">
        <v>16268.0</v>
      </c>
      <c r="E41" t="n" s="10">
        <v>-32525.83</v>
      </c>
      <c r="F41" t="n" s="6">
        <v>100.0</v>
      </c>
      <c r="G41" t="n" s="6">
        <v>1.7</v>
      </c>
      <c r="H41" t="n" s="6">
        <v>23.9</v>
      </c>
      <c r="I41" t="n" s="6">
        <v>1.0</v>
      </c>
      <c r="J41" t="n" s="6">
        <v>16268.0</v>
      </c>
      <c r="K41" t="n" s="6">
        <v>0.0</v>
      </c>
      <c r="L41" t="n" s="6">
        <v>858.0</v>
      </c>
      <c r="M41" t="n" s="6">
        <v>858.0</v>
      </c>
      <c r="N41" t="n" s="6">
        <v>0.0</v>
      </c>
      <c r="O41" t="n" s="6">
        <v>93.0</v>
      </c>
      <c r="P41" t="n" s="6">
        <v>19.0</v>
      </c>
      <c r="Q41" t="n" s="6">
        <v>42079.0</v>
      </c>
      <c r="R41" t="n" s="6">
        <v>2.0</v>
      </c>
      <c r="S41" t="n" s="6">
        <v>42081.0</v>
      </c>
      <c r="T41" t="n" s="6">
        <v>11.4</v>
      </c>
      <c r="U41" t="n" s="6">
        <v>192.6</v>
      </c>
    </row>
    <row r="42" ht="17.0" customHeight="true">
      <c r="A42" t="n" s="5">
        <v>9.0</v>
      </c>
      <c r="B42" t="s" s="5">
        <v>30</v>
      </c>
      <c r="C42" t="n" s="5">
        <v>16268.0</v>
      </c>
      <c r="D42" t="n" s="5">
        <v>16268.0</v>
      </c>
      <c r="E42" t="n" s="10">
        <v>-32525.83</v>
      </c>
      <c r="F42" t="n" s="5">
        <v>100.0</v>
      </c>
      <c r="G42" t="n" s="5">
        <v>1.7</v>
      </c>
      <c r="H42" t="n" s="5">
        <v>23.9</v>
      </c>
      <c r="I42" t="n" s="5">
        <v>1.0</v>
      </c>
      <c r="J42" t="n" s="5">
        <v>16268.0</v>
      </c>
      <c r="K42" t="n" s="5">
        <v>0.0</v>
      </c>
      <c r="L42" t="n" s="5">
        <v>858.0</v>
      </c>
      <c r="M42" t="n" s="5">
        <v>858.0</v>
      </c>
      <c r="N42" t="n" s="5">
        <v>0.0</v>
      </c>
      <c r="O42" t="n" s="5">
        <v>93.0</v>
      </c>
      <c r="P42" t="n" s="5">
        <v>19.0</v>
      </c>
      <c r="Q42" t="n" s="5">
        <v>42770.0</v>
      </c>
      <c r="R42" t="n" s="5">
        <v>1.0</v>
      </c>
      <c r="S42" t="n" s="5">
        <v>42771.0</v>
      </c>
      <c r="T42" t="n" s="5">
        <v>12.0</v>
      </c>
      <c r="U42" t="n" s="5">
        <v>228.5</v>
      </c>
    </row>
    <row r="43" ht="17.0" customHeight="true">
      <c r="A43" t="n" s="6">
        <v>10.0</v>
      </c>
      <c r="B43" t="s" s="6">
        <v>30</v>
      </c>
      <c r="C43" t="n" s="6">
        <v>16268.0</v>
      </c>
      <c r="D43" t="n" s="6">
        <v>16268.0</v>
      </c>
      <c r="E43" t="n" s="10">
        <v>-32525.83</v>
      </c>
      <c r="F43" t="n" s="6">
        <v>100.0</v>
      </c>
      <c r="G43" t="n" s="6">
        <v>1.7</v>
      </c>
      <c r="H43" t="n" s="6">
        <v>23.9</v>
      </c>
      <c r="I43" t="n" s="6">
        <v>1.0</v>
      </c>
      <c r="J43" t="n" s="6">
        <v>16268.0</v>
      </c>
      <c r="K43" t="n" s="6">
        <v>0.0</v>
      </c>
      <c r="L43" t="n" s="6">
        <v>858.0</v>
      </c>
      <c r="M43" t="n" s="6">
        <v>858.0</v>
      </c>
      <c r="N43" t="n" s="6">
        <v>0.0</v>
      </c>
      <c r="O43" t="n" s="6">
        <v>93.0</v>
      </c>
      <c r="P43" t="n" s="6">
        <v>19.0</v>
      </c>
      <c r="Q43" t="n" s="6">
        <v>43491.0</v>
      </c>
      <c r="R43" t="n" s="6">
        <v>1.0</v>
      </c>
      <c r="S43" t="n" s="6">
        <v>43492.0</v>
      </c>
      <c r="T43" t="n" s="6">
        <v>15.5</v>
      </c>
      <c r="U43" t="n" s="6">
        <v>269.3</v>
      </c>
    </row>
    <row r="44" ht="18.0" customHeight="true">
      <c r="A44" t="s" s="7">
        <v>25</v>
      </c>
      <c r="B44" t="s" s="7">
        <v>30</v>
      </c>
      <c r="C44" s="7">
        <f>AVERAGE(C34:C43)</f>
      </c>
      <c r="D44" s="7">
        <f>AVERAGE(D34:D43)</f>
      </c>
      <c r="E44" s="7">
        <f>AVERAGE(E34:E43)</f>
      </c>
      <c r="F44" s="7">
        <f>AVERAGE(F34:F43)</f>
      </c>
      <c r="G44" s="7">
        <f>AVERAGE(G34:G43)</f>
      </c>
      <c r="H44" s="7">
        <f>AVERAGE(H34:H43)</f>
      </c>
      <c r="I44" s="7">
        <f>AVERAGE(I34:I43)</f>
      </c>
      <c r="J44" s="7">
        <f>AVERAGE(J34:J43)</f>
      </c>
      <c r="K44" s="7">
        <f>AVERAGE(K34:K43)</f>
      </c>
      <c r="L44" s="7">
        <f>AVERAGE(L34:L43)</f>
      </c>
      <c r="M44" s="7">
        <f>AVERAGE(M34:M43)</f>
      </c>
      <c r="N44" s="7">
        <f>AVERAGE(N34:N43)</f>
      </c>
      <c r="O44" s="7">
        <f>AVERAGE(O34:O43)</f>
      </c>
      <c r="P44" s="7">
        <f>AVERAGE(P34:P43)</f>
      </c>
      <c r="Q44" s="7">
        <f>AVERAGE(Q34:Q43)</f>
      </c>
      <c r="R44" s="7">
        <f>AVERAGE(R34:R43)</f>
      </c>
      <c r="S44" s="7">
        <f>AVERAGE(S34:S43)</f>
      </c>
      <c r="T44" s="7">
        <f>AVERAGE(T34:T43)</f>
      </c>
      <c r="U44" s="7">
        <f>AVERAGE(U34:U43)</f>
      </c>
    </row>
    <row r="45" ht="18.0" customHeight="true">
      <c r="A45" t="s" s="8">
        <v>26</v>
      </c>
      <c r="B45" t="s" s="8">
        <v>30</v>
      </c>
      <c r="C45" s="8">
        <f>STDEV.P(C34:C43)</f>
      </c>
      <c r="D45" s="8">
        <f>STDEV.P(D34:D43)</f>
      </c>
      <c r="E45" s="8">
        <f>STDEV.P(E34:E43)</f>
      </c>
      <c r="F45" s="8">
        <f>STDEV.P(F34:F43)</f>
      </c>
      <c r="G45" s="8">
        <f>STDEV.P(G34:G43)</f>
      </c>
      <c r="H45" s="8">
        <f>STDEV.P(H34:H43)</f>
      </c>
      <c r="I45" s="8">
        <f>STDEV.P(I34:I43)</f>
      </c>
      <c r="J45" s="8">
        <f>STDEV.P(J34:J43)</f>
      </c>
      <c r="K45" s="8">
        <f>STDEV.P(K34:K43)</f>
      </c>
      <c r="L45" s="8">
        <f>STDEV.P(L34:L43)</f>
      </c>
      <c r="M45" s="8">
        <f>STDEV.P(M34:M43)</f>
      </c>
      <c r="N45" s="8">
        <f>STDEV.P(N34:N43)</f>
      </c>
      <c r="O45" s="8">
        <f>STDEV.P(O34:O43)</f>
      </c>
      <c r="P45" s="8">
        <f>STDEV.P(P34:P43)</f>
      </c>
      <c r="Q45" s="8">
        <f>STDEV.P(Q34:Q43)</f>
      </c>
      <c r="R45" s="8">
        <f>STDEV.P(R34:R43)</f>
      </c>
      <c r="S45" s="8">
        <f>STDEV.P(S34:S43)</f>
      </c>
      <c r="T45" s="8">
        <f>STDEV.P(T34:T43)</f>
      </c>
      <c r="U45" s="8">
        <f>STDEV.P(U34:U43)</f>
      </c>
    </row>
    <row r="47" ht="20.0" customHeight="true">
      <c r="A47" t="s" s="4">
        <v>31</v>
      </c>
    </row>
    <row r="48" ht="17.0" customHeight="true">
      <c r="A48" t="n" s="5">
        <v>1.0</v>
      </c>
      <c r="B48" t="s" s="5">
        <v>32</v>
      </c>
      <c r="C48" t="n" s="5">
        <v>25578.0</v>
      </c>
      <c r="D48" t="n" s="5">
        <v>25578.0</v>
      </c>
      <c r="E48" t="n" s="10">
        <v>-32545.07</v>
      </c>
      <c r="F48" t="n" s="5">
        <v>100.0</v>
      </c>
      <c r="G48" t="n" s="5">
        <v>2.7</v>
      </c>
      <c r="H48" t="n" s="5">
        <v>24.2</v>
      </c>
      <c r="I48" t="n" s="5">
        <v>2.0</v>
      </c>
      <c r="J48" t="n" s="5">
        <v>25578.0</v>
      </c>
      <c r="K48" t="n" s="5">
        <v>0.0</v>
      </c>
      <c r="L48" t="n" s="5">
        <v>848.0</v>
      </c>
      <c r="M48" t="n" s="5">
        <v>848.0</v>
      </c>
      <c r="N48" t="n" s="5">
        <v>0.0</v>
      </c>
      <c r="O48" t="n" s="5">
        <v>97.0</v>
      </c>
      <c r="P48" t="n" s="5">
        <v>30.2</v>
      </c>
      <c r="Q48" t="n" s="5">
        <v>41805.0</v>
      </c>
      <c r="R48" t="n" s="5">
        <v>1.0</v>
      </c>
      <c r="S48" t="n" s="5">
        <v>41806.0</v>
      </c>
      <c r="T48" t="n" s="5">
        <v>10.5</v>
      </c>
      <c r="U48" t="n" s="5">
        <v>218.1</v>
      </c>
    </row>
    <row r="49" ht="17.0" customHeight="true">
      <c r="A49" t="n" s="6">
        <v>2.0</v>
      </c>
      <c r="B49" t="s" s="6">
        <v>32</v>
      </c>
      <c r="C49" t="n" s="6">
        <v>25578.0</v>
      </c>
      <c r="D49" t="n" s="6">
        <v>25578.0</v>
      </c>
      <c r="E49" t="n" s="10">
        <v>-32533.07</v>
      </c>
      <c r="F49" t="n" s="6">
        <v>100.0</v>
      </c>
      <c r="G49" t="n" s="6">
        <v>2.7</v>
      </c>
      <c r="H49" t="n" s="6">
        <v>24.2</v>
      </c>
      <c r="I49" t="n" s="6">
        <v>1.0</v>
      </c>
      <c r="J49" t="n" s="6">
        <v>25578.0</v>
      </c>
      <c r="K49" t="n" s="6">
        <v>0.0</v>
      </c>
      <c r="L49" t="n" s="6">
        <v>848.0</v>
      </c>
      <c r="M49" t="n" s="6">
        <v>848.0</v>
      </c>
      <c r="N49" t="n" s="6">
        <v>0.0</v>
      </c>
      <c r="O49" t="n" s="6">
        <v>97.0</v>
      </c>
      <c r="P49" t="n" s="6">
        <v>30.2</v>
      </c>
      <c r="Q49" t="n" s="6">
        <v>41562.0</v>
      </c>
      <c r="R49" t="n" s="6">
        <v>1.0</v>
      </c>
      <c r="S49" t="n" s="6">
        <v>41563.0</v>
      </c>
      <c r="T49" t="n" s="6">
        <v>11.0</v>
      </c>
      <c r="U49" t="n" s="6">
        <v>154.1</v>
      </c>
    </row>
    <row r="50" ht="17.0" customHeight="true">
      <c r="A50" t="n" s="5">
        <v>3.0</v>
      </c>
      <c r="B50" t="s" s="5">
        <v>32</v>
      </c>
      <c r="C50" t="n" s="5">
        <v>25578.0</v>
      </c>
      <c r="D50" t="n" s="5">
        <v>25578.0</v>
      </c>
      <c r="E50" t="n" s="10">
        <v>-32533.07</v>
      </c>
      <c r="F50" t="n" s="5">
        <v>100.0</v>
      </c>
      <c r="G50" t="n" s="5">
        <v>2.7</v>
      </c>
      <c r="H50" t="n" s="5">
        <v>24.2</v>
      </c>
      <c r="I50" t="n" s="5">
        <v>1.0</v>
      </c>
      <c r="J50" t="n" s="5">
        <v>25578.0</v>
      </c>
      <c r="K50" t="n" s="5">
        <v>0.0</v>
      </c>
      <c r="L50" t="n" s="5">
        <v>848.0</v>
      </c>
      <c r="M50" t="n" s="5">
        <v>848.0</v>
      </c>
      <c r="N50" t="n" s="5">
        <v>0.0</v>
      </c>
      <c r="O50" t="n" s="5">
        <v>97.0</v>
      </c>
      <c r="P50" t="n" s="5">
        <v>30.2</v>
      </c>
      <c r="Q50" t="n" s="5">
        <v>41338.0</v>
      </c>
      <c r="R50" t="n" s="5">
        <v>1.0</v>
      </c>
      <c r="S50" t="n" s="5">
        <v>41339.0</v>
      </c>
      <c r="T50" t="n" s="5">
        <v>10.2</v>
      </c>
      <c r="U50" t="n" s="5">
        <v>186.2</v>
      </c>
    </row>
    <row r="51" ht="17.0" customHeight="true">
      <c r="A51" t="n" s="6">
        <v>4.0</v>
      </c>
      <c r="B51" t="s" s="6">
        <v>32</v>
      </c>
      <c r="C51" t="n" s="6">
        <v>25578.0</v>
      </c>
      <c r="D51" t="n" s="6">
        <v>25578.0</v>
      </c>
      <c r="E51" t="n" s="10">
        <v>-32545.07</v>
      </c>
      <c r="F51" t="n" s="6">
        <v>100.0</v>
      </c>
      <c r="G51" t="n" s="6">
        <v>2.7</v>
      </c>
      <c r="H51" t="n" s="6">
        <v>24.2</v>
      </c>
      <c r="I51" t="n" s="6">
        <v>2.0</v>
      </c>
      <c r="J51" t="n" s="6">
        <v>25578.0</v>
      </c>
      <c r="K51" t="n" s="6">
        <v>0.0</v>
      </c>
      <c r="L51" t="n" s="6">
        <v>848.0</v>
      </c>
      <c r="M51" t="n" s="6">
        <v>848.0</v>
      </c>
      <c r="N51" t="n" s="6">
        <v>0.0</v>
      </c>
      <c r="O51" t="n" s="6">
        <v>97.0</v>
      </c>
      <c r="P51" t="n" s="6">
        <v>30.2</v>
      </c>
      <c r="Q51" t="n" s="6">
        <v>41676.0</v>
      </c>
      <c r="R51" t="n" s="6">
        <v>2.0</v>
      </c>
      <c r="S51" t="n" s="6">
        <v>41678.0</v>
      </c>
      <c r="T51" t="n" s="6">
        <v>11.4</v>
      </c>
      <c r="U51" t="n" s="6">
        <v>81.2</v>
      </c>
    </row>
    <row r="52" ht="17.0" customHeight="true">
      <c r="A52" t="n" s="5">
        <v>5.0</v>
      </c>
      <c r="B52" t="s" s="5">
        <v>32</v>
      </c>
      <c r="C52" t="n" s="5">
        <v>25578.0</v>
      </c>
      <c r="D52" t="n" s="5">
        <v>25578.0</v>
      </c>
      <c r="E52" t="n" s="10">
        <v>-32533.07</v>
      </c>
      <c r="F52" t="n" s="5">
        <v>100.0</v>
      </c>
      <c r="G52" t="n" s="5">
        <v>2.7</v>
      </c>
      <c r="H52" t="n" s="5">
        <v>24.2</v>
      </c>
      <c r="I52" t="n" s="5">
        <v>1.0</v>
      </c>
      <c r="J52" t="n" s="5">
        <v>25578.0</v>
      </c>
      <c r="K52" t="n" s="5">
        <v>0.0</v>
      </c>
      <c r="L52" t="n" s="5">
        <v>848.0</v>
      </c>
      <c r="M52" t="n" s="5">
        <v>848.0</v>
      </c>
      <c r="N52" t="n" s="5">
        <v>0.0</v>
      </c>
      <c r="O52" t="n" s="5">
        <v>97.0</v>
      </c>
      <c r="P52" t="n" s="5">
        <v>30.2</v>
      </c>
      <c r="Q52" t="n" s="5">
        <v>41739.0</v>
      </c>
      <c r="R52" t="n" s="5">
        <v>1.0</v>
      </c>
      <c r="S52" t="n" s="5">
        <v>41740.0</v>
      </c>
      <c r="T52" t="n" s="5">
        <v>13.1</v>
      </c>
      <c r="U52" t="n" s="5">
        <v>219.0</v>
      </c>
    </row>
    <row r="53" ht="17.0" customHeight="true">
      <c r="A53" t="n" s="6">
        <v>6.0</v>
      </c>
      <c r="B53" t="s" s="6">
        <v>32</v>
      </c>
      <c r="C53" t="n" s="6">
        <v>25578.0</v>
      </c>
      <c r="D53" t="n" s="6">
        <v>25578.0</v>
      </c>
      <c r="E53" t="n" s="10">
        <v>-32545.07</v>
      </c>
      <c r="F53" t="n" s="6">
        <v>100.0</v>
      </c>
      <c r="G53" t="n" s="6">
        <v>2.7</v>
      </c>
      <c r="H53" t="n" s="6">
        <v>24.2</v>
      </c>
      <c r="I53" t="n" s="6">
        <v>2.0</v>
      </c>
      <c r="J53" t="n" s="6">
        <v>25578.0</v>
      </c>
      <c r="K53" t="n" s="6">
        <v>0.0</v>
      </c>
      <c r="L53" t="n" s="6">
        <v>848.0</v>
      </c>
      <c r="M53" t="n" s="6">
        <v>848.0</v>
      </c>
      <c r="N53" t="n" s="6">
        <v>0.0</v>
      </c>
      <c r="O53" t="n" s="6">
        <v>97.0</v>
      </c>
      <c r="P53" t="n" s="6">
        <v>30.2</v>
      </c>
      <c r="Q53" t="n" s="6">
        <v>42288.0</v>
      </c>
      <c r="R53" t="n" s="6">
        <v>1.0</v>
      </c>
      <c r="S53" t="n" s="6">
        <v>42289.0</v>
      </c>
      <c r="T53" t="n" s="6">
        <v>14.1</v>
      </c>
      <c r="U53" t="n" s="6">
        <v>145.8</v>
      </c>
    </row>
    <row r="54" ht="17.0" customHeight="true">
      <c r="A54" t="n" s="5">
        <v>7.0</v>
      </c>
      <c r="B54" t="s" s="5">
        <v>32</v>
      </c>
      <c r="C54" t="n" s="5">
        <v>25578.0</v>
      </c>
      <c r="D54" t="n" s="5">
        <v>25578.0</v>
      </c>
      <c r="E54" t="n" s="10">
        <v>-32533.07</v>
      </c>
      <c r="F54" t="n" s="5">
        <v>100.0</v>
      </c>
      <c r="G54" t="n" s="5">
        <v>2.7</v>
      </c>
      <c r="H54" t="n" s="5">
        <v>24.2</v>
      </c>
      <c r="I54" t="n" s="5">
        <v>1.0</v>
      </c>
      <c r="J54" t="n" s="5">
        <v>25578.0</v>
      </c>
      <c r="K54" t="n" s="5">
        <v>0.0</v>
      </c>
      <c r="L54" t="n" s="5">
        <v>848.0</v>
      </c>
      <c r="M54" t="n" s="5">
        <v>848.0</v>
      </c>
      <c r="N54" t="n" s="5">
        <v>0.0</v>
      </c>
      <c r="O54" t="n" s="5">
        <v>97.0</v>
      </c>
      <c r="P54" t="n" s="5">
        <v>30.2</v>
      </c>
      <c r="Q54" t="n" s="5">
        <v>41716.0</v>
      </c>
      <c r="R54" t="n" s="5">
        <v>1.0</v>
      </c>
      <c r="S54" t="n" s="5">
        <v>41717.0</v>
      </c>
      <c r="T54" t="n" s="5">
        <v>10.8</v>
      </c>
      <c r="U54" t="n" s="5">
        <v>140.5</v>
      </c>
    </row>
    <row r="55" ht="17.0" customHeight="true">
      <c r="A55" t="n" s="6">
        <v>8.0</v>
      </c>
      <c r="B55" t="s" s="6">
        <v>32</v>
      </c>
      <c r="C55" t="n" s="6">
        <v>25578.0</v>
      </c>
      <c r="D55" t="n" s="6">
        <v>25578.0</v>
      </c>
      <c r="E55" t="n" s="10">
        <v>-32533.07</v>
      </c>
      <c r="F55" t="n" s="6">
        <v>100.0</v>
      </c>
      <c r="G55" t="n" s="6">
        <v>2.7</v>
      </c>
      <c r="H55" t="n" s="6">
        <v>24.2</v>
      </c>
      <c r="I55" t="n" s="6">
        <v>1.0</v>
      </c>
      <c r="J55" t="n" s="6">
        <v>25578.0</v>
      </c>
      <c r="K55" t="n" s="6">
        <v>0.0</v>
      </c>
      <c r="L55" t="n" s="6">
        <v>848.0</v>
      </c>
      <c r="M55" t="n" s="6">
        <v>848.0</v>
      </c>
      <c r="N55" t="n" s="6">
        <v>0.0</v>
      </c>
      <c r="O55" t="n" s="6">
        <v>97.0</v>
      </c>
      <c r="P55" t="n" s="6">
        <v>30.2</v>
      </c>
      <c r="Q55" t="n" s="6">
        <v>41599.0</v>
      </c>
      <c r="R55" t="n" s="6">
        <v>1.0</v>
      </c>
      <c r="S55" t="n" s="6">
        <v>41600.0</v>
      </c>
      <c r="T55" t="n" s="6">
        <v>12.4</v>
      </c>
      <c r="U55" t="n" s="6">
        <v>153.3</v>
      </c>
    </row>
    <row r="56" ht="17.0" customHeight="true">
      <c r="A56" t="n" s="5">
        <v>9.0</v>
      </c>
      <c r="B56" t="s" s="5">
        <v>32</v>
      </c>
      <c r="C56" t="n" s="5">
        <v>25578.0</v>
      </c>
      <c r="D56" t="n" s="5">
        <v>25578.0</v>
      </c>
      <c r="E56" t="n" s="10">
        <v>-32533.07</v>
      </c>
      <c r="F56" t="n" s="5">
        <v>100.0</v>
      </c>
      <c r="G56" t="n" s="5">
        <v>2.7</v>
      </c>
      <c r="H56" t="n" s="5">
        <v>24.2</v>
      </c>
      <c r="I56" t="n" s="5">
        <v>1.0</v>
      </c>
      <c r="J56" t="n" s="5">
        <v>25578.0</v>
      </c>
      <c r="K56" t="n" s="5">
        <v>0.0</v>
      </c>
      <c r="L56" t="n" s="5">
        <v>848.0</v>
      </c>
      <c r="M56" t="n" s="5">
        <v>848.0</v>
      </c>
      <c r="N56" t="n" s="5">
        <v>0.0</v>
      </c>
      <c r="O56" t="n" s="5">
        <v>97.0</v>
      </c>
      <c r="P56" t="n" s="5">
        <v>30.2</v>
      </c>
      <c r="Q56" t="n" s="5">
        <v>42183.0</v>
      </c>
      <c r="R56" t="n" s="5">
        <v>1.0</v>
      </c>
      <c r="S56" t="n" s="5">
        <v>42184.0</v>
      </c>
      <c r="T56" t="n" s="5">
        <v>12.8</v>
      </c>
      <c r="U56" t="n" s="5">
        <v>269.1</v>
      </c>
    </row>
    <row r="57" ht="17.0" customHeight="true">
      <c r="A57" t="n" s="6">
        <v>10.0</v>
      </c>
      <c r="B57" t="s" s="6">
        <v>32</v>
      </c>
      <c r="C57" t="n" s="6">
        <v>25578.0</v>
      </c>
      <c r="D57" t="n" s="6">
        <v>25578.0</v>
      </c>
      <c r="E57" t="n" s="10">
        <v>-32545.07</v>
      </c>
      <c r="F57" t="n" s="6">
        <v>100.0</v>
      </c>
      <c r="G57" t="n" s="6">
        <v>2.7</v>
      </c>
      <c r="H57" t="n" s="6">
        <v>24.2</v>
      </c>
      <c r="I57" t="n" s="6">
        <v>2.0</v>
      </c>
      <c r="J57" t="n" s="6">
        <v>25578.0</v>
      </c>
      <c r="K57" t="n" s="6">
        <v>0.0</v>
      </c>
      <c r="L57" t="n" s="6">
        <v>848.0</v>
      </c>
      <c r="M57" t="n" s="6">
        <v>848.0</v>
      </c>
      <c r="N57" t="n" s="6">
        <v>0.0</v>
      </c>
      <c r="O57" t="n" s="6">
        <v>97.0</v>
      </c>
      <c r="P57" t="n" s="6">
        <v>30.2</v>
      </c>
      <c r="Q57" t="n" s="6">
        <v>43730.0</v>
      </c>
      <c r="R57" t="n" s="6">
        <v>1.0</v>
      </c>
      <c r="S57" t="n" s="6">
        <v>43731.0</v>
      </c>
      <c r="T57" t="n" s="6">
        <v>19.2</v>
      </c>
      <c r="U57" t="n" s="6">
        <v>127.2</v>
      </c>
    </row>
    <row r="58" ht="18.0" customHeight="true">
      <c r="A58" t="s" s="7">
        <v>25</v>
      </c>
      <c r="B58" t="s" s="7">
        <v>32</v>
      </c>
      <c r="C58" s="7">
        <f>AVERAGE(C48:C57)</f>
      </c>
      <c r="D58" s="7">
        <f>AVERAGE(D48:D57)</f>
      </c>
      <c r="E58" s="7">
        <f>AVERAGE(E48:E57)</f>
      </c>
      <c r="F58" s="7">
        <f>AVERAGE(F48:F57)</f>
      </c>
      <c r="G58" s="7">
        <f>AVERAGE(G48:G57)</f>
      </c>
      <c r="H58" s="7">
        <f>AVERAGE(H48:H57)</f>
      </c>
      <c r="I58" s="7">
        <f>AVERAGE(I48:I57)</f>
      </c>
      <c r="J58" s="7">
        <f>AVERAGE(J48:J57)</f>
      </c>
      <c r="K58" s="7">
        <f>AVERAGE(K48:K57)</f>
      </c>
      <c r="L58" s="7">
        <f>AVERAGE(L48:L57)</f>
      </c>
      <c r="M58" s="7">
        <f>AVERAGE(M48:M57)</f>
      </c>
      <c r="N58" s="7">
        <f>AVERAGE(N48:N57)</f>
      </c>
      <c r="O58" s="7">
        <f>AVERAGE(O48:O57)</f>
      </c>
      <c r="P58" s="7">
        <f>AVERAGE(P48:P57)</f>
      </c>
      <c r="Q58" s="7">
        <f>AVERAGE(Q48:Q57)</f>
      </c>
      <c r="R58" s="7">
        <f>AVERAGE(R48:R57)</f>
      </c>
      <c r="S58" s="7">
        <f>AVERAGE(S48:S57)</f>
      </c>
      <c r="T58" s="7">
        <f>AVERAGE(T48:T57)</f>
      </c>
      <c r="U58" s="7">
        <f>AVERAGE(U48:U57)</f>
      </c>
    </row>
    <row r="59" ht="18.0" customHeight="true">
      <c r="A59" t="s" s="8">
        <v>26</v>
      </c>
      <c r="B59" t="s" s="8">
        <v>32</v>
      </c>
      <c r="C59" s="8">
        <f>STDEV.P(C48:C57)</f>
      </c>
      <c r="D59" s="8">
        <f>STDEV.P(D48:D57)</f>
      </c>
      <c r="E59" s="8">
        <f>STDEV.P(E48:E57)</f>
      </c>
      <c r="F59" s="8">
        <f>STDEV.P(F48:F57)</f>
      </c>
      <c r="G59" s="8">
        <f>STDEV.P(G48:G57)</f>
      </c>
      <c r="H59" s="8">
        <f>STDEV.P(H48:H57)</f>
      </c>
      <c r="I59" s="8">
        <f>STDEV.P(I48:I57)</f>
      </c>
      <c r="J59" s="8">
        <f>STDEV.P(J48:J57)</f>
      </c>
      <c r="K59" s="8">
        <f>STDEV.P(K48:K57)</f>
      </c>
      <c r="L59" s="8">
        <f>STDEV.P(L48:L57)</f>
      </c>
      <c r="M59" s="8">
        <f>STDEV.P(M48:M57)</f>
      </c>
      <c r="N59" s="8">
        <f>STDEV.P(N48:N57)</f>
      </c>
      <c r="O59" s="8">
        <f>STDEV.P(O48:O57)</f>
      </c>
      <c r="P59" s="8">
        <f>STDEV.P(P48:P57)</f>
      </c>
      <c r="Q59" s="8">
        <f>STDEV.P(Q48:Q57)</f>
      </c>
      <c r="R59" s="8">
        <f>STDEV.P(R48:R57)</f>
      </c>
      <c r="S59" s="8">
        <f>STDEV.P(S48:S57)</f>
      </c>
      <c r="T59" s="8">
        <f>STDEV.P(T48:T57)</f>
      </c>
      <c r="U59" s="8">
        <f>STDEV.P(U48:U57)</f>
      </c>
    </row>
    <row r="61" ht="20.0" customHeight="true">
      <c r="A61" t="s" s="4">
        <v>33</v>
      </c>
    </row>
    <row r="62" ht="17.0" customHeight="true">
      <c r="A62" t="n" s="5">
        <v>1.0</v>
      </c>
      <c r="B62" t="s" s="5">
        <v>34</v>
      </c>
      <c r="C62" t="n" s="5">
        <v>34849.0</v>
      </c>
      <c r="D62" t="n" s="5">
        <v>34849.0</v>
      </c>
      <c r="E62" t="n" s="10">
        <v>-32927.33</v>
      </c>
      <c r="F62" t="n" s="5">
        <v>100.0</v>
      </c>
      <c r="G62" t="n" s="5">
        <v>3.7</v>
      </c>
      <c r="H62" t="n" s="5">
        <v>24.1</v>
      </c>
      <c r="I62" t="n" s="5">
        <v>2.0</v>
      </c>
      <c r="J62" t="n" s="5">
        <v>34849.0</v>
      </c>
      <c r="K62" t="n" s="5">
        <v>0.0</v>
      </c>
      <c r="L62" t="n" s="5">
        <v>861.0</v>
      </c>
      <c r="M62" t="n" s="5">
        <v>861.0</v>
      </c>
      <c r="N62" t="n" s="5">
        <v>0.0</v>
      </c>
      <c r="O62" t="n" s="5">
        <v>91.0</v>
      </c>
      <c r="P62" t="n" s="5">
        <v>40.5</v>
      </c>
      <c r="Q62" t="n" s="5">
        <v>42486.0</v>
      </c>
      <c r="R62" t="n" s="5">
        <v>1.0</v>
      </c>
      <c r="S62" t="n" s="5">
        <v>42487.0</v>
      </c>
      <c r="T62" t="n" s="5">
        <v>10.4</v>
      </c>
      <c r="U62" t="n" s="5">
        <v>257.8</v>
      </c>
    </row>
    <row r="63" ht="17.0" customHeight="true">
      <c r="A63" t="n" s="6">
        <v>2.0</v>
      </c>
      <c r="B63" t="s" s="6">
        <v>34</v>
      </c>
      <c r="C63" t="n" s="6">
        <v>34849.0</v>
      </c>
      <c r="D63" t="n" s="6">
        <v>34849.0</v>
      </c>
      <c r="E63" t="n" s="10">
        <v>-32939.33</v>
      </c>
      <c r="F63" t="n" s="6">
        <v>100.0</v>
      </c>
      <c r="G63" t="n" s="6">
        <v>3.7</v>
      </c>
      <c r="H63" t="n" s="6">
        <v>24.1</v>
      </c>
      <c r="I63" t="n" s="6">
        <v>3.0</v>
      </c>
      <c r="J63" t="n" s="6">
        <v>34849.0</v>
      </c>
      <c r="K63" t="n" s="6">
        <v>0.0</v>
      </c>
      <c r="L63" t="n" s="6">
        <v>861.0</v>
      </c>
      <c r="M63" t="n" s="6">
        <v>861.0</v>
      </c>
      <c r="N63" t="n" s="6">
        <v>0.0</v>
      </c>
      <c r="O63" t="n" s="6">
        <v>91.0</v>
      </c>
      <c r="P63" t="n" s="6">
        <v>40.5</v>
      </c>
      <c r="Q63" t="n" s="6">
        <v>42858.0</v>
      </c>
      <c r="R63" t="n" s="6">
        <v>2.0</v>
      </c>
      <c r="S63" t="n" s="6">
        <v>42860.0</v>
      </c>
      <c r="T63" t="n" s="6">
        <v>10.5</v>
      </c>
      <c r="U63" t="n" s="6">
        <v>215.7</v>
      </c>
    </row>
    <row r="64" ht="17.0" customHeight="true">
      <c r="A64" t="n" s="5">
        <v>3.0</v>
      </c>
      <c r="B64" t="s" s="5">
        <v>34</v>
      </c>
      <c r="C64" t="n" s="5">
        <v>34849.0</v>
      </c>
      <c r="D64" t="n" s="5">
        <v>34849.0</v>
      </c>
      <c r="E64" t="n" s="10">
        <v>-32915.33</v>
      </c>
      <c r="F64" t="n" s="5">
        <v>100.0</v>
      </c>
      <c r="G64" t="n" s="5">
        <v>3.7</v>
      </c>
      <c r="H64" t="n" s="5">
        <v>24.1</v>
      </c>
      <c r="I64" t="n" s="5">
        <v>1.0</v>
      </c>
      <c r="J64" t="n" s="5">
        <v>34849.0</v>
      </c>
      <c r="K64" t="n" s="5">
        <v>0.0</v>
      </c>
      <c r="L64" t="n" s="5">
        <v>861.0</v>
      </c>
      <c r="M64" t="n" s="5">
        <v>861.0</v>
      </c>
      <c r="N64" t="n" s="5">
        <v>0.0</v>
      </c>
      <c r="O64" t="n" s="5">
        <v>91.0</v>
      </c>
      <c r="P64" t="n" s="5">
        <v>40.5</v>
      </c>
      <c r="Q64" t="n" s="5">
        <v>41629.0</v>
      </c>
      <c r="R64" t="n" s="5">
        <v>2.0</v>
      </c>
      <c r="S64" t="n" s="5">
        <v>41631.0</v>
      </c>
      <c r="T64" t="n" s="5">
        <v>10.2</v>
      </c>
      <c r="U64" t="n" s="5">
        <v>120.8</v>
      </c>
    </row>
    <row r="65" ht="17.0" customHeight="true">
      <c r="A65" t="n" s="6">
        <v>4.0</v>
      </c>
      <c r="B65" t="s" s="6">
        <v>34</v>
      </c>
      <c r="C65" t="n" s="6">
        <v>34849.0</v>
      </c>
      <c r="D65" t="n" s="6">
        <v>34849.0</v>
      </c>
      <c r="E65" t="n" s="10">
        <v>-32915.33</v>
      </c>
      <c r="F65" t="n" s="6">
        <v>100.0</v>
      </c>
      <c r="G65" t="n" s="6">
        <v>3.7</v>
      </c>
      <c r="H65" t="n" s="6">
        <v>24.1</v>
      </c>
      <c r="I65" t="n" s="6">
        <v>1.0</v>
      </c>
      <c r="J65" t="n" s="6">
        <v>34849.0</v>
      </c>
      <c r="K65" t="n" s="6">
        <v>0.0</v>
      </c>
      <c r="L65" t="n" s="6">
        <v>861.0</v>
      </c>
      <c r="M65" t="n" s="6">
        <v>861.0</v>
      </c>
      <c r="N65" t="n" s="6">
        <v>0.0</v>
      </c>
      <c r="O65" t="n" s="6">
        <v>91.0</v>
      </c>
      <c r="P65" t="n" s="6">
        <v>40.5</v>
      </c>
      <c r="Q65" t="n" s="6">
        <v>42317.0</v>
      </c>
      <c r="R65" t="n" s="6">
        <v>1.0</v>
      </c>
      <c r="S65" t="n" s="6">
        <v>42318.0</v>
      </c>
      <c r="T65" t="n" s="6">
        <v>12.1</v>
      </c>
      <c r="U65" t="n" s="6">
        <v>235.8</v>
      </c>
    </row>
    <row r="66" ht="17.0" customHeight="true">
      <c r="A66" t="n" s="5">
        <v>5.0</v>
      </c>
      <c r="B66" t="s" s="5">
        <v>34</v>
      </c>
      <c r="C66" t="n" s="5">
        <v>34849.0</v>
      </c>
      <c r="D66" t="n" s="5">
        <v>34849.0</v>
      </c>
      <c r="E66" t="n" s="10">
        <v>-32915.33</v>
      </c>
      <c r="F66" t="n" s="5">
        <v>100.0</v>
      </c>
      <c r="G66" t="n" s="5">
        <v>3.7</v>
      </c>
      <c r="H66" t="n" s="5">
        <v>24.1</v>
      </c>
      <c r="I66" t="n" s="5">
        <v>1.0</v>
      </c>
      <c r="J66" t="n" s="5">
        <v>34849.0</v>
      </c>
      <c r="K66" t="n" s="5">
        <v>0.0</v>
      </c>
      <c r="L66" t="n" s="5">
        <v>861.0</v>
      </c>
      <c r="M66" t="n" s="5">
        <v>861.0</v>
      </c>
      <c r="N66" t="n" s="5">
        <v>0.0</v>
      </c>
      <c r="O66" t="n" s="5">
        <v>91.0</v>
      </c>
      <c r="P66" t="n" s="5">
        <v>40.5</v>
      </c>
      <c r="Q66" t="n" s="5">
        <v>43346.0</v>
      </c>
      <c r="R66" t="n" s="5">
        <v>2.0</v>
      </c>
      <c r="S66" t="n" s="5">
        <v>43348.0</v>
      </c>
      <c r="T66" t="n" s="5">
        <v>14.5</v>
      </c>
      <c r="U66" t="n" s="5">
        <v>202.7</v>
      </c>
    </row>
    <row r="67" ht="17.0" customHeight="true">
      <c r="A67" t="n" s="6">
        <v>6.0</v>
      </c>
      <c r="B67" t="s" s="6">
        <v>34</v>
      </c>
      <c r="C67" t="n" s="6">
        <v>34849.0</v>
      </c>
      <c r="D67" t="n" s="6">
        <v>34849.0</v>
      </c>
      <c r="E67" t="n" s="10">
        <v>-32915.33</v>
      </c>
      <c r="F67" t="n" s="6">
        <v>100.0</v>
      </c>
      <c r="G67" t="n" s="6">
        <v>3.7</v>
      </c>
      <c r="H67" t="n" s="6">
        <v>24.1</v>
      </c>
      <c r="I67" t="n" s="6">
        <v>1.0</v>
      </c>
      <c r="J67" t="n" s="6">
        <v>34849.0</v>
      </c>
      <c r="K67" t="n" s="6">
        <v>0.0</v>
      </c>
      <c r="L67" t="n" s="6">
        <v>861.0</v>
      </c>
      <c r="M67" t="n" s="6">
        <v>861.0</v>
      </c>
      <c r="N67" t="n" s="6">
        <v>0.0</v>
      </c>
      <c r="O67" t="n" s="6">
        <v>91.0</v>
      </c>
      <c r="P67" t="n" s="6">
        <v>40.5</v>
      </c>
      <c r="Q67" t="n" s="6">
        <v>42425.0</v>
      </c>
      <c r="R67" t="n" s="6">
        <v>1.0</v>
      </c>
      <c r="S67" t="n" s="6">
        <v>42426.0</v>
      </c>
      <c r="T67" t="n" s="6">
        <v>16.5</v>
      </c>
      <c r="U67" t="n" s="6">
        <v>149.3</v>
      </c>
    </row>
    <row r="68" ht="17.0" customHeight="true">
      <c r="A68" t="n" s="5">
        <v>7.0</v>
      </c>
      <c r="B68" t="s" s="5">
        <v>34</v>
      </c>
      <c r="C68" t="n" s="5">
        <v>34849.0</v>
      </c>
      <c r="D68" t="n" s="5">
        <v>34849.0</v>
      </c>
      <c r="E68" t="n" s="10">
        <v>-32915.33</v>
      </c>
      <c r="F68" t="n" s="5">
        <v>100.0</v>
      </c>
      <c r="G68" t="n" s="5">
        <v>3.7</v>
      </c>
      <c r="H68" t="n" s="5">
        <v>24.1</v>
      </c>
      <c r="I68" t="n" s="5">
        <v>1.0</v>
      </c>
      <c r="J68" t="n" s="5">
        <v>34849.0</v>
      </c>
      <c r="K68" t="n" s="5">
        <v>0.0</v>
      </c>
      <c r="L68" t="n" s="5">
        <v>861.0</v>
      </c>
      <c r="M68" t="n" s="5">
        <v>861.0</v>
      </c>
      <c r="N68" t="n" s="5">
        <v>0.0</v>
      </c>
      <c r="O68" t="n" s="5">
        <v>91.0</v>
      </c>
      <c r="P68" t="n" s="5">
        <v>40.5</v>
      </c>
      <c r="Q68" t="n" s="5">
        <v>42847.0</v>
      </c>
      <c r="R68" t="n" s="5">
        <v>1.0</v>
      </c>
      <c r="S68" t="n" s="5">
        <v>42848.0</v>
      </c>
      <c r="T68" t="n" s="5">
        <v>13.1</v>
      </c>
      <c r="U68" t="n" s="5">
        <v>181.1</v>
      </c>
    </row>
    <row r="69" ht="17.0" customHeight="true">
      <c r="A69" t="n" s="6">
        <v>8.0</v>
      </c>
      <c r="B69" t="s" s="6">
        <v>34</v>
      </c>
      <c r="C69" t="n" s="6">
        <v>34849.0</v>
      </c>
      <c r="D69" t="n" s="6">
        <v>34849.0</v>
      </c>
      <c r="E69" t="n" s="10">
        <v>-32915.33</v>
      </c>
      <c r="F69" t="n" s="6">
        <v>100.0</v>
      </c>
      <c r="G69" t="n" s="6">
        <v>3.7</v>
      </c>
      <c r="H69" t="n" s="6">
        <v>24.1</v>
      </c>
      <c r="I69" t="n" s="6">
        <v>1.0</v>
      </c>
      <c r="J69" t="n" s="6">
        <v>34849.0</v>
      </c>
      <c r="K69" t="n" s="6">
        <v>0.0</v>
      </c>
      <c r="L69" t="n" s="6">
        <v>861.0</v>
      </c>
      <c r="M69" t="n" s="6">
        <v>861.0</v>
      </c>
      <c r="N69" t="n" s="6">
        <v>0.0</v>
      </c>
      <c r="O69" t="n" s="6">
        <v>91.0</v>
      </c>
      <c r="P69" t="n" s="6">
        <v>40.5</v>
      </c>
      <c r="Q69" t="n" s="6">
        <v>42927.0</v>
      </c>
      <c r="R69" t="n" s="6">
        <v>1.0</v>
      </c>
      <c r="S69" t="n" s="6">
        <v>42928.0</v>
      </c>
      <c r="T69" t="n" s="6">
        <v>13.0</v>
      </c>
      <c r="U69" t="n" s="6">
        <v>196.9</v>
      </c>
    </row>
    <row r="70" ht="17.0" customHeight="true">
      <c r="A70" t="n" s="5">
        <v>9.0</v>
      </c>
      <c r="B70" t="s" s="5">
        <v>34</v>
      </c>
      <c r="C70" t="n" s="5">
        <v>34849.0</v>
      </c>
      <c r="D70" t="n" s="5">
        <v>34849.0</v>
      </c>
      <c r="E70" t="n" s="10">
        <v>-32915.33</v>
      </c>
      <c r="F70" t="n" s="5">
        <v>100.0</v>
      </c>
      <c r="G70" t="n" s="5">
        <v>3.7</v>
      </c>
      <c r="H70" t="n" s="5">
        <v>24.1</v>
      </c>
      <c r="I70" t="n" s="5">
        <v>1.0</v>
      </c>
      <c r="J70" t="n" s="5">
        <v>34849.0</v>
      </c>
      <c r="K70" t="n" s="5">
        <v>0.0</v>
      </c>
      <c r="L70" t="n" s="5">
        <v>861.0</v>
      </c>
      <c r="M70" t="n" s="5">
        <v>861.0</v>
      </c>
      <c r="N70" t="n" s="5">
        <v>0.0</v>
      </c>
      <c r="O70" t="n" s="5">
        <v>91.0</v>
      </c>
      <c r="P70" t="n" s="5">
        <v>40.5</v>
      </c>
      <c r="Q70" t="n" s="5">
        <v>43113.0</v>
      </c>
      <c r="R70" t="n" s="5">
        <v>1.0</v>
      </c>
      <c r="S70" t="n" s="5">
        <v>43114.0</v>
      </c>
      <c r="T70" t="n" s="5">
        <v>15.1</v>
      </c>
      <c r="U70" t="n" s="5">
        <v>170.0</v>
      </c>
    </row>
    <row r="71" ht="17.0" customHeight="true">
      <c r="A71" t="n" s="6">
        <v>10.0</v>
      </c>
      <c r="B71" t="s" s="6">
        <v>34</v>
      </c>
      <c r="C71" t="n" s="6">
        <v>34849.0</v>
      </c>
      <c r="D71" t="n" s="6">
        <v>34849.0</v>
      </c>
      <c r="E71" t="n" s="10">
        <v>-32939.33</v>
      </c>
      <c r="F71" t="n" s="6">
        <v>100.0</v>
      </c>
      <c r="G71" t="n" s="6">
        <v>3.7</v>
      </c>
      <c r="H71" t="n" s="6">
        <v>24.1</v>
      </c>
      <c r="I71" t="n" s="6">
        <v>3.0</v>
      </c>
      <c r="J71" t="n" s="6">
        <v>34849.0</v>
      </c>
      <c r="K71" t="n" s="6">
        <v>0.0</v>
      </c>
      <c r="L71" t="n" s="6">
        <v>861.0</v>
      </c>
      <c r="M71" t="n" s="6">
        <v>861.0</v>
      </c>
      <c r="N71" t="n" s="6">
        <v>0.0</v>
      </c>
      <c r="O71" t="n" s="6">
        <v>91.0</v>
      </c>
      <c r="P71" t="n" s="6">
        <v>40.5</v>
      </c>
      <c r="Q71" t="n" s="6">
        <v>42746.0</v>
      </c>
      <c r="R71" t="n" s="6">
        <v>1.0</v>
      </c>
      <c r="S71" t="n" s="6">
        <v>42747.0</v>
      </c>
      <c r="T71" t="n" s="6">
        <v>13.6</v>
      </c>
      <c r="U71" t="n" s="6">
        <v>94.8</v>
      </c>
    </row>
    <row r="72" ht="18.0" customHeight="true">
      <c r="A72" t="s" s="7">
        <v>25</v>
      </c>
      <c r="B72" t="s" s="7">
        <v>34</v>
      </c>
      <c r="C72" s="7">
        <f>AVERAGE(C62:C71)</f>
      </c>
      <c r="D72" s="7">
        <f>AVERAGE(D62:D71)</f>
      </c>
      <c r="E72" s="7">
        <f>AVERAGE(E62:E71)</f>
      </c>
      <c r="F72" s="7">
        <f>AVERAGE(F62:F71)</f>
      </c>
      <c r="G72" s="7">
        <f>AVERAGE(G62:G71)</f>
      </c>
      <c r="H72" s="7">
        <f>AVERAGE(H62:H71)</f>
      </c>
      <c r="I72" s="7">
        <f>AVERAGE(I62:I71)</f>
      </c>
      <c r="J72" s="7">
        <f>AVERAGE(J62:J71)</f>
      </c>
      <c r="K72" s="7">
        <f>AVERAGE(K62:K71)</f>
      </c>
      <c r="L72" s="7">
        <f>AVERAGE(L62:L71)</f>
      </c>
      <c r="M72" s="7">
        <f>AVERAGE(M62:M71)</f>
      </c>
      <c r="N72" s="7">
        <f>AVERAGE(N62:N71)</f>
      </c>
      <c r="O72" s="7">
        <f>AVERAGE(O62:O71)</f>
      </c>
      <c r="P72" s="7">
        <f>AVERAGE(P62:P71)</f>
      </c>
      <c r="Q72" s="7">
        <f>AVERAGE(Q62:Q71)</f>
      </c>
      <c r="R72" s="7">
        <f>AVERAGE(R62:R71)</f>
      </c>
      <c r="S72" s="7">
        <f>AVERAGE(S62:S71)</f>
      </c>
      <c r="T72" s="7">
        <f>AVERAGE(T62:T71)</f>
      </c>
      <c r="U72" s="7">
        <f>AVERAGE(U62:U71)</f>
      </c>
    </row>
    <row r="73" ht="18.0" customHeight="true">
      <c r="A73" t="s" s="8">
        <v>26</v>
      </c>
      <c r="B73" t="s" s="8">
        <v>34</v>
      </c>
      <c r="C73" s="8">
        <f>STDEV.P(C62:C71)</f>
      </c>
      <c r="D73" s="8">
        <f>STDEV.P(D62:D71)</f>
      </c>
      <c r="E73" s="8">
        <f>STDEV.P(E62:E71)</f>
      </c>
      <c r="F73" s="8">
        <f>STDEV.P(F62:F71)</f>
      </c>
      <c r="G73" s="8">
        <f>STDEV.P(G62:G71)</f>
      </c>
      <c r="H73" s="8">
        <f>STDEV.P(H62:H71)</f>
      </c>
      <c r="I73" s="8">
        <f>STDEV.P(I62:I71)</f>
      </c>
      <c r="J73" s="8">
        <f>STDEV.P(J62:J71)</f>
      </c>
      <c r="K73" s="8">
        <f>STDEV.P(K62:K71)</f>
      </c>
      <c r="L73" s="8">
        <f>STDEV.P(L62:L71)</f>
      </c>
      <c r="M73" s="8">
        <f>STDEV.P(M62:M71)</f>
      </c>
      <c r="N73" s="8">
        <f>STDEV.P(N62:N71)</f>
      </c>
      <c r="O73" s="8">
        <f>STDEV.P(O62:O71)</f>
      </c>
      <c r="P73" s="8">
        <f>STDEV.P(P62:P71)</f>
      </c>
      <c r="Q73" s="8">
        <f>STDEV.P(Q62:Q71)</f>
      </c>
      <c r="R73" s="8">
        <f>STDEV.P(R62:R71)</f>
      </c>
      <c r="S73" s="8">
        <f>STDEV.P(S62:S71)</f>
      </c>
      <c r="T73" s="8">
        <f>STDEV.P(T62:T71)</f>
      </c>
      <c r="U73" s="8">
        <f>STDEV.P(U62:U71)</f>
      </c>
    </row>
  </sheetData>
  <mergeCells count="7">
    <mergeCell ref="A1:U1"/>
    <mergeCell ref="A2:U2"/>
    <mergeCell ref="A5:U5"/>
    <mergeCell ref="A19:U19"/>
    <mergeCell ref="A33:U33"/>
    <mergeCell ref="A47:U47"/>
    <mergeCell ref="A61:U6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2026-05-04T21:29:54Z</dcterms:created>
  <dc:creator>Apache POI</dc:creator>
</cp:coreProperties>
</file>